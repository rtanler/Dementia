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Unit Economics" sheetId="3" state="visible" r:id="rId3"/>
    <sheet xmlns:r="http://schemas.openxmlformats.org/officeDocument/2006/relationships" name="Session Mix" sheetId="4" state="visible" r:id="rId4"/>
    <sheet xmlns:r="http://schemas.openxmlformats.org/officeDocument/2006/relationships" name="Sensitivity" sheetId="5" state="visible" r:id="rId5"/>
    <sheet xmlns:r="http://schemas.openxmlformats.org/officeDocument/2006/relationships" name="12-Month Projection" sheetId="6" state="visible" r:id="rId6"/>
  </sheets>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quot;$&quot;#,##0;[Red](&quot;$&quot;#,##0)"/>
    <numFmt numFmtId="167" formatCode="$#,##0"/>
    <numFmt numFmtId="168" formatCode="$#,##0;[Red]-$#,##0"/>
  </numFmts>
  <fonts count="11">
    <font>
      <name val="Calibri"/>
      <family val="2"/>
      <color theme="1"/>
      <sz val="11"/>
      <scheme val="minor"/>
    </font>
    <font>
      <b val="1"/>
      <color rgb="002C3E50"/>
      <sz val="16"/>
    </font>
    <font>
      <b val="1"/>
      <color rgb="002C3E50"/>
      <sz val="12"/>
    </font>
    <font>
      <b val="1"/>
      <color rgb="002C3E50"/>
      <sz val="14"/>
    </font>
    <font>
      <i val="1"/>
      <color rgb="00666666"/>
      <sz val="9"/>
    </font>
    <font>
      <b val="1"/>
      <color rgb="00FFFFFF"/>
      <sz val="11"/>
    </font>
    <font>
      <i val="1"/>
    </font>
    <font>
      <b val="1"/>
    </font>
    <font>
      <b val="1"/>
      <i val="1"/>
      <color rgb="00A04040"/>
    </font>
    <font>
      <i val="1"/>
      <sz val="9"/>
    </font>
    <font>
      <b val="1"/>
      <color rgb="002C3E50"/>
    </font>
  </fonts>
  <fills count="5">
    <fill>
      <patternFill/>
    </fill>
    <fill>
      <patternFill patternType="gray125"/>
    </fill>
    <fill>
      <patternFill patternType="solid">
        <fgColor rgb="00FFF3CD"/>
      </patternFill>
    </fill>
    <fill>
      <patternFill patternType="solid">
        <fgColor rgb="002C3E50"/>
      </patternFill>
    </fill>
    <fill>
      <patternFill patternType="solid">
        <f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vertical="center" wrapText="1"/>
    </xf>
    <xf numFmtId="0" fontId="3" fillId="0" borderId="0" pivotButton="0" quotePrefix="0" xfId="0"/>
    <xf numFmtId="0" fontId="0" fillId="0" borderId="1" pivotButton="0" quotePrefix="0" xfId="0"/>
    <xf numFmtId="164" fontId="0" fillId="2" borderId="1" pivotButton="0" quotePrefix="0" xfId="0"/>
    <xf numFmtId="0" fontId="4" fillId="0" borderId="0" applyAlignment="1" pivotButton="0" quotePrefix="0" xfId="0">
      <alignment horizontal="left" vertical="center" wrapText="1"/>
    </xf>
    <xf numFmtId="0" fontId="4" fillId="0" borderId="0" pivotButton="0" quotePrefix="0" xfId="0"/>
    <xf numFmtId="1" fontId="0" fillId="2" borderId="1" pivotButton="0" quotePrefix="0" xfId="0"/>
    <xf numFmtId="10" fontId="0" fillId="2" borderId="1" pivotButton="0" quotePrefix="0" xfId="0"/>
    <xf numFmtId="9" fontId="0" fillId="2" borderId="1" pivotButton="0" quotePrefix="0" xfId="0"/>
    <xf numFmtId="0" fontId="5" fillId="3" borderId="1" applyAlignment="1" pivotButton="0" quotePrefix="0" xfId="0">
      <alignment horizontal="center" vertical="center"/>
    </xf>
    <xf numFmtId="164" fontId="6" fillId="4" borderId="1" pivotButton="0" quotePrefix="0" xfId="0"/>
    <xf numFmtId="164" fontId="7" fillId="4" borderId="1" pivotButton="0" quotePrefix="0" xfId="0"/>
    <xf numFmtId="10" fontId="6" fillId="4" borderId="1" pivotButton="0" quotePrefix="0" xfId="0"/>
    <xf numFmtId="0" fontId="8" fillId="0" borderId="0" applyAlignment="1" pivotButton="0" quotePrefix="0" xfId="0">
      <alignment horizontal="left" vertical="center" wrapText="1"/>
    </xf>
    <xf numFmtId="165" fontId="0" fillId="2" borderId="1" pivotButton="0" quotePrefix="0" xfId="0"/>
    <xf numFmtId="165" fontId="6" fillId="4" borderId="1" pivotButton="0" quotePrefix="0" xfId="0"/>
    <xf numFmtId="0" fontId="7" fillId="0" borderId="0" pivotButton="0" quotePrefix="0" xfId="0"/>
    <xf numFmtId="0" fontId="9" fillId="0" borderId="0" pivotButton="0" quotePrefix="0" xfId="0"/>
    <xf numFmtId="166" fontId="0" fillId="0" borderId="1" pivotButton="0" quotePrefix="0" xfId="0"/>
    <xf numFmtId="167" fontId="0" fillId="0" borderId="0" pivotButton="0" quotePrefix="0" xfId="0"/>
    <xf numFmtId="168" fontId="0" fillId="0" borderId="0" pivotButton="0" quotePrefix="0" xfId="0"/>
    <xf numFmtId="166" fontId="7" fillId="0" borderId="0" pivotButton="0" quotePrefix="0" xfId="0"/>
    <xf numFmtId="0" fontId="10" fillId="0" borderId="0" pivotButton="0" quotePrefix="0" xfId="0"/>
    <xf numFmtId="166" fontId="10" fillId="0" borderId="0" pivotButton="0" quotePrefix="0" xfId="0"/>
  </cellXfs>
  <cellStyles count="1">
    <cellStyle name="Normal" xfId="0" builtinId="0" hidden="0"/>
  </cellStyles>
  <dxfs count="2">
    <dxf>
      <fill>
        <patternFill patternType="solid">
          <fgColor rgb="00F8D7DA"/>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95" customWidth="1" min="1" max="1"/>
  </cols>
  <sheetData>
    <row r="1">
      <c r="A1" s="1" t="inlineStr">
        <is>
          <t>Dementia Voice Assistant — Pricing &amp; Sensitivity Analysis</t>
        </is>
      </c>
    </row>
    <row r="3">
      <c r="A3" s="2" t="inlineStr">
        <is>
          <t>Purpose</t>
        </is>
      </c>
    </row>
    <row r="4" ht="60" customHeight="1">
      <c r="A4" s="3" t="inlineStr">
        <is>
          <t>A premium voice assistant backed by the 'Understanding Dementia' textbook (15 chapters, 200-concept learning graph) targeted at caregivers and families. This workbook models the economics under realistic usage so you can decide pricing, platform, and break-even point.</t>
        </is>
      </c>
    </row>
    <row r="6">
      <c r="A6" s="2" t="inlineStr">
        <is>
          <t>How to use this workbook</t>
        </is>
      </c>
    </row>
    <row r="7">
      <c r="A7" s="3" t="inlineStr">
        <is>
          <t>1. Open the 'Assumptions' sheet. Yellow cells are inputs — edit them. Everything else recomputes.</t>
        </is>
      </c>
    </row>
    <row r="8">
      <c r="A8" s="3" t="inlineStr">
        <is>
          <t>2. 'Unit Economics' shows what one subscriber costs to serve, by platform.</t>
        </is>
      </c>
    </row>
    <row r="9">
      <c r="A9" s="3" t="inlineStr">
        <is>
          <t>3. 'Session Mix' models a real caregiver's monthly usage pattern (mix of quick lookups + longer sessions).</t>
        </is>
      </c>
    </row>
    <row r="10">
      <c r="A10" s="3" t="inlineStr">
        <is>
          <t>4. 'Sensitivity' is the most important sheet: a 2D table of (subscribers × monthly-usage) showing monthly profit/loss.</t>
        </is>
      </c>
    </row>
    <row r="11">
      <c r="A11" s="3" t="inlineStr">
        <is>
          <t>5. '12-Month Projection' compares two growth scenarios under both platforms.</t>
        </is>
      </c>
    </row>
    <row r="12">
      <c r="A12" s="3" t="inlineStr">
        <is>
          <t>6. Color coding: yellow = editable input, blue = calculated cell, dark headers = labels.</t>
        </is>
      </c>
    </row>
    <row r="14">
      <c r="A14" s="2" t="inlineStr">
        <is>
          <t>Key assumptions baked in (change in 'Assumptions' sheet)</t>
        </is>
      </c>
    </row>
    <row r="15">
      <c r="A15" s="3" t="inlineStr">
        <is>
          <t>• ElevenLabs Agents conversation cost: $0.10/min (mid of empirical $0.08–0.12 range).</t>
        </is>
      </c>
    </row>
    <row r="16">
      <c r="A16" s="3" t="inlineStr">
        <is>
          <t>• OpenAI Realtime cost: $0.30/min (empirically measured, May 2026 — $0.87 for ~2.9 min on Distracted Driving test).</t>
        </is>
      </c>
    </row>
    <row r="17">
      <c r="A17" s="3" t="inlineStr">
        <is>
          <t>• ElevenLabs Enterprise + BAA fixed cost: $1,250/month (rough; required if you market this as healthcare-adjacent and want HIPAA coverage).</t>
        </is>
      </c>
    </row>
    <row r="18">
      <c r="A18" s="3" t="inlineStr">
        <is>
          <t>• Stripe processing: 2.9% + $0.30 per transaction.</t>
        </is>
      </c>
    </row>
    <row r="19">
      <c r="A19" s="3" t="inlineStr">
        <is>
          <t>• Subscription default: $14.99/month, 45 minutes included, capped (no overage).</t>
        </is>
      </c>
    </row>
    <row r="20">
      <c r="A20" s="3" t="inlineStr">
        <is>
          <t>• LLM inference cost (Gemini 2.5 Flash for ElevenLabs / gpt-realtime built into the audio rate) — assumed bundled, not separately metered.</t>
        </is>
      </c>
    </row>
    <row r="22">
      <c r="A22" s="2" t="inlineStr">
        <is>
          <t>What's NOT modeled here (still material — discuss separately)</t>
        </is>
      </c>
    </row>
    <row r="23">
      <c r="A23" s="3" t="inlineStr">
        <is>
          <t>• Customer acquisition cost (CAC). Caregiver acquisition is hard; trust + clinical endorsement matter more than ad spend.</t>
        </is>
      </c>
    </row>
    <row r="24">
      <c r="A24" s="3" t="inlineStr">
        <is>
          <t>• Churn rate. Caregiving has a finite arc — average 4–8 years. Bake into LTV separately.</t>
        </is>
      </c>
    </row>
    <row r="25">
      <c r="A25" s="3" t="inlineStr">
        <is>
          <t>• Content licensing cost. CC BY-NC-SA 4.0 currently blocks commercial use; assumes Rick grants a commercial carve-out (treat as $0 royalty for v1, revisit).</t>
        </is>
      </c>
    </row>
    <row r="26">
      <c r="A26" s="3" t="inlineStr">
        <is>
          <t>• Legal review &amp; insurance for healthcare-adjacent product. Budget $5K–15K one-time for product counsel before launch.</t>
        </is>
      </c>
    </row>
    <row r="27">
      <c r="A27" s="3" t="inlineStr">
        <is>
          <t>• Support headcount. Voice product attracts support tickets — assume 0.5 FTE at ~500 active subs.</t>
        </is>
      </c>
    </row>
    <row r="30">
      <c r="A30" s="2" t="inlineStr">
        <is>
          <t>Empirical data points this workbook is anchored to</t>
        </is>
      </c>
    </row>
    <row r="31">
      <c r="A31" s="3" t="inlineStr">
        <is>
          <t>• 2026-05-08: OpenAI Realtime test on Distracted Driving tutor → $0.87 for ~2.9 min ≈ $0.30/min. Source: OpenAI usage dashboard.</t>
        </is>
      </c>
    </row>
    <row r="32">
      <c r="A32" s="3" t="inlineStr">
        <is>
          <t>• ElevenLabs Agents observed pricing on Creator/Pro tiers: ~$0.08–$0.12 per conversation minute.</t>
        </is>
      </c>
    </row>
    <row r="33">
      <c r="A33" s="3" t="inlineStr">
        <is>
          <t>• Empirical conversation lengths from ElevenLabs dashboard (Distracted Driving Tutor, 3 sessions): 76s, 177s, 338s — mean ~2.7 min per session.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5" customWidth="1" min="1" max="1"/>
    <col width="15" customWidth="1" min="2" max="2"/>
    <col width="55" customWidth="1" min="3" max="3"/>
  </cols>
  <sheetData>
    <row r="1">
      <c r="A1" s="4" t="inlineStr">
        <is>
          <t>Assumptions (yellow cells = editable)</t>
        </is>
      </c>
    </row>
    <row r="3">
      <c r="A3" s="2" t="inlineStr">
        <is>
          <t>PLATFORM COSTS</t>
        </is>
      </c>
    </row>
    <row r="4">
      <c r="A4" s="5" t="inlineStr">
        <is>
          <t>ElevenLabs Agents — per minute cost ($)</t>
        </is>
      </c>
      <c r="B4" s="6" t="n">
        <v>0.1</v>
      </c>
      <c r="C4" s="7" t="inlineStr">
        <is>
          <t>Mid of empirical $0.08–0.12 range</t>
        </is>
      </c>
    </row>
    <row r="5">
      <c r="A5" s="5" t="inlineStr">
        <is>
          <t>OpenAI Realtime — per minute cost ($)</t>
        </is>
      </c>
      <c r="B5" s="6" t="n">
        <v>0.3</v>
      </c>
      <c r="C5" s="7" t="inlineStr">
        <is>
          <t>Empirical 2026-05-08: $0.87 / 2.9 min</t>
        </is>
      </c>
    </row>
    <row r="6">
      <c r="A6" s="5" t="inlineStr">
        <is>
          <t>ElevenLabs Enterprise + BAA fixed monthly ($)</t>
        </is>
      </c>
      <c r="B6" s="6" t="n">
        <v>1250</v>
      </c>
      <c r="C6" s="7" t="inlineStr">
        <is>
          <t>Required for HIPAA / PHI handling</t>
        </is>
      </c>
    </row>
    <row r="7">
      <c r="A7" s="5" t="inlineStr">
        <is>
          <t>Domain + hosting + monitoring monthly ($)</t>
        </is>
      </c>
      <c r="B7" s="6" t="n">
        <v>50</v>
      </c>
      <c r="C7" s="7" t="inlineStr">
        <is>
          <t>Vercel + a status page + analytics</t>
        </is>
      </c>
    </row>
    <row r="8">
      <c r="A8" s="5" t="inlineStr">
        <is>
          <t>Customer support tooling monthly ($)</t>
        </is>
      </c>
      <c r="B8" s="6" t="n">
        <v>100</v>
      </c>
      <c r="C8" s="7" t="inlineStr">
        <is>
          <t>Intercom/Help Scout + transcript review tools</t>
        </is>
      </c>
    </row>
    <row r="11">
      <c r="A11" s="2" t="inlineStr">
        <is>
          <t>SUBSCRIPTION PRICING</t>
        </is>
      </c>
    </row>
    <row r="12">
      <c r="A12" s="5" t="inlineStr">
        <is>
          <t>Monthly subscription price ($)</t>
        </is>
      </c>
      <c r="B12" s="6" t="n">
        <v>14.99</v>
      </c>
      <c r="C12" s="8" t="inlineStr">
        <is>
          <t>Premium positioning vs free Alzheimer's hotlines</t>
        </is>
      </c>
    </row>
    <row r="13">
      <c r="A13" s="5" t="inlineStr">
        <is>
          <t>Minutes included per month</t>
        </is>
      </c>
      <c r="B13" s="9" t="n">
        <v>45</v>
      </c>
      <c r="C13" s="8" t="inlineStr">
        <is>
          <t>Caps cost exposure; ~3-4 caregiver sessions</t>
        </is>
      </c>
    </row>
    <row r="14">
      <c r="A14" s="5" t="inlineStr">
        <is>
          <t>Stripe fee — percentage</t>
        </is>
      </c>
      <c r="B14" s="10" t="n">
        <v>0.029</v>
      </c>
      <c r="C14" s="8" t="inlineStr">
        <is>
          <t>Standard online rate</t>
        </is>
      </c>
    </row>
    <row r="15">
      <c r="A15" s="5" t="inlineStr">
        <is>
          <t>Stripe fee — fixed per transaction ($)</t>
        </is>
      </c>
      <c r="B15" s="6" t="n">
        <v>0.3</v>
      </c>
      <c r="C15" s="8" t="inlineStr">
        <is>
          <t>Per successful charge</t>
        </is>
      </c>
    </row>
    <row r="18">
      <c r="A18" s="2" t="inlineStr">
        <is>
          <t>AVERAGE SUBSCRIBER USAGE PATTERN</t>
        </is>
      </c>
    </row>
    <row r="19">
      <c r="A19" s="5" t="inlineStr">
        <is>
          <t>Avg minutes used per subscriber per month</t>
        </is>
      </c>
      <c r="B19" s="9" t="n">
        <v>28</v>
      </c>
      <c r="C19" s="8" t="inlineStr">
        <is>
          <t>Heavy users hit the 45-min cap; many use less</t>
        </is>
      </c>
    </row>
    <row r="20">
      <c r="A20" s="5" t="inlineStr">
        <is>
          <t>% of users who hit the cap</t>
        </is>
      </c>
      <c r="B20" s="11" t="n">
        <v>0.2</v>
      </c>
      <c r="C20" s="8" t="inlineStr">
        <is>
          <t>Drives whether to raise cap or upsell tier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18" customWidth="1" min="6" max="6"/>
  </cols>
  <sheetData>
    <row r="1">
      <c r="A1" s="4" t="inlineStr">
        <is>
          <t>Unit Economics — one subscriber, one month</t>
        </is>
      </c>
    </row>
    <row r="3">
      <c r="A3" s="12" t="inlineStr">
        <is>
          <t>Metric</t>
        </is>
      </c>
      <c r="B3" s="12" t="inlineStr">
        <is>
          <t>ElevenLabs Agents</t>
        </is>
      </c>
      <c r="C3" s="12" t="inlineStr">
        <is>
          <t>OpenAI Realtime</t>
        </is>
      </c>
    </row>
    <row r="4">
      <c r="A4" s="5" t="inlineStr">
        <is>
          <t>Revenue per subscriber ($)</t>
        </is>
      </c>
      <c r="B4" s="13">
        <f>Assumptions!$B$12</f>
        <v/>
      </c>
      <c r="C4" s="13">
        <f>Assumptions!$B$12</f>
        <v/>
      </c>
    </row>
    <row r="5">
      <c r="A5" s="5" t="inlineStr">
        <is>
          <t>Stripe processing fee ($)</t>
        </is>
      </c>
      <c r="B5" s="13">
        <f>-(Assumptions!$B$12*Assumptions!$B$14+Assumptions!$B$15)</f>
        <v/>
      </c>
      <c r="C5" s="13">
        <f>-(Assumptions!$B$12*Assumptions!$B$14+Assumptions!$B$15)</f>
        <v/>
      </c>
    </row>
    <row r="6">
      <c r="A6" s="5" t="inlineStr">
        <is>
          <t>Avg minutes used per month</t>
        </is>
      </c>
      <c r="B6" s="13">
        <f>Assumptions!$B$19</f>
        <v/>
      </c>
      <c r="C6" s="13">
        <f>Assumptions!$B$19</f>
        <v/>
      </c>
    </row>
    <row r="7">
      <c r="A7" s="5" t="inlineStr">
        <is>
          <t>Variable cost — conversation ($)</t>
        </is>
      </c>
      <c r="B7" s="13">
        <f>-Assumptions!$B$19*Assumptions!$B$4</f>
        <v/>
      </c>
      <c r="C7" s="13">
        <f>-Assumptions!$B$19*Assumptions!$B$5</f>
        <v/>
      </c>
    </row>
    <row r="8">
      <c r="A8" s="5" t="inlineStr">
        <is>
          <t>Contribution margin per subscriber ($)</t>
        </is>
      </c>
      <c r="B8" s="14">
        <f>B4+B5+B7</f>
        <v/>
      </c>
      <c r="C8" s="14">
        <f>C4+C5+C7</f>
        <v/>
      </c>
    </row>
    <row r="9">
      <c r="A9" s="5" t="inlineStr">
        <is>
          <t>Contribution margin %</t>
        </is>
      </c>
      <c r="B9" s="15">
        <f>B8/B4</f>
        <v/>
      </c>
      <c r="C9" s="15">
        <f>C8/C4</f>
        <v/>
      </c>
    </row>
    <row r="11">
      <c r="A11" s="7" t="inlineStr">
        <is>
          <t>Read: this is the gross variable margin before fixed costs (Enterprise/BAA, hosting, support, salaries).</t>
        </is>
      </c>
    </row>
    <row r="13">
      <c r="A13" s="2" t="inlineStr">
        <is>
          <t>Worst case (subscriber uses full 45-min cap)</t>
        </is>
      </c>
    </row>
    <row r="14">
      <c r="A14" s="5" t="inlineStr">
        <is>
          <t>Revenue ($)</t>
        </is>
      </c>
      <c r="B14" s="13">
        <f>Assumptions!$B$12</f>
        <v/>
      </c>
      <c r="C14" s="13">
        <f>Assumptions!$B$12</f>
        <v/>
      </c>
    </row>
    <row r="15">
      <c r="A15" s="5" t="inlineStr">
        <is>
          <t>Stripe fee ($)</t>
        </is>
      </c>
      <c r="B15" s="13">
        <f>-(Assumptions!$B$12*Assumptions!$B$14+Assumptions!$B$15)</f>
        <v/>
      </c>
      <c r="C15" s="13">
        <f>-(Assumptions!$B$12*Assumptions!$B$14+Assumptions!$B$15)</f>
        <v/>
      </c>
    </row>
    <row r="16">
      <c r="A16" s="5" t="inlineStr">
        <is>
          <t>Minutes (at cap)</t>
        </is>
      </c>
      <c r="B16" s="13">
        <f>Assumptions!$B$13</f>
        <v/>
      </c>
      <c r="C16" s="13">
        <f>Assumptions!$B$13</f>
        <v/>
      </c>
    </row>
    <row r="17">
      <c r="A17" s="5" t="inlineStr">
        <is>
          <t>Variable cost ($)</t>
        </is>
      </c>
      <c r="B17" s="13">
        <f>-Assumptions!$B$13*Assumptions!$B$4</f>
        <v/>
      </c>
      <c r="C17" s="13">
        <f>-Assumptions!$B$13*Assumptions!$B$5</f>
        <v/>
      </c>
    </row>
    <row r="18">
      <c r="A18" s="5" t="inlineStr">
        <is>
          <t>Margin at cap ($)</t>
        </is>
      </c>
      <c r="B18" s="13">
        <f>B14+B15+B17</f>
        <v/>
      </c>
      <c r="C18" s="13">
        <f>C14+C15+C17</f>
        <v/>
      </c>
    </row>
    <row r="19">
      <c r="A19" s="5" t="inlineStr">
        <is>
          <t>Margin at cap %</t>
        </is>
      </c>
      <c r="B19" s="15">
        <f>B18/B14</f>
        <v/>
      </c>
      <c r="C19" s="15">
        <f>C18/C14</f>
        <v/>
      </c>
    </row>
    <row r="21" ht="32" customHeight="1">
      <c r="A21" s="16" t="inlineStr">
        <is>
          <t>Key insight: if a heavy user maxes the cap on OpenAI Realtime, you lose money on them. On ElevenLabs, margin stays positive even at full usage.</t>
        </is>
      </c>
    </row>
  </sheetData>
  <mergeCells count="2">
    <mergeCell ref="A21:C21"/>
    <mergeCell ref="A11:C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Session Mix — what does an active caregiver subscriber actually do?</t>
        </is>
      </c>
    </row>
    <row r="3">
      <c r="A3" s="12" t="inlineStr">
        <is>
          <t>Session type</t>
        </is>
      </c>
      <c r="B3" s="12" t="inlineStr">
        <is>
          <t>Avg duration (min)</t>
        </is>
      </c>
      <c r="C3" s="12" t="inlineStr">
        <is>
          <t>Frequency/month</t>
        </is>
      </c>
      <c r="D3" s="12" t="inlineStr">
        <is>
          <t>Minutes/month</t>
        </is>
      </c>
      <c r="E3" s="12" t="inlineStr">
        <is>
          <t>ElevenLabs cost</t>
        </is>
      </c>
      <c r="F3" s="12" t="inlineStr">
        <is>
          <t>OpenAI Realtime cost</t>
        </is>
      </c>
    </row>
    <row r="4">
      <c r="A4" s="5" t="inlineStr">
        <is>
          <t>Quick lookup ('what is sundowning?')</t>
        </is>
      </c>
      <c r="B4" s="9" t="n">
        <v>2</v>
      </c>
      <c r="C4" s="17" t="n">
        <v>6</v>
      </c>
      <c r="D4" s="18">
        <f>B4*C4</f>
        <v/>
      </c>
      <c r="E4" s="13">
        <f>D4*Assumptions!$B$4</f>
        <v/>
      </c>
      <c r="F4" s="13">
        <f>D4*Assumptions!$B$5</f>
        <v/>
      </c>
    </row>
    <row r="5">
      <c r="A5" s="5" t="inlineStr">
        <is>
          <t>Caregiver problem-solving conversation</t>
        </is>
      </c>
      <c r="B5" s="9" t="n">
        <v>10</v>
      </c>
      <c r="C5" s="17" t="n">
        <v>2</v>
      </c>
      <c r="D5" s="18">
        <f>B5*C5</f>
        <v/>
      </c>
      <c r="E5" s="13">
        <f>D5*Assumptions!$B$4</f>
        <v/>
      </c>
      <c r="F5" s="13">
        <f>D5*Assumptions!$B$5</f>
        <v/>
      </c>
    </row>
    <row r="6">
      <c r="A6" s="5" t="inlineStr">
        <is>
          <t>Patient walkthrough of new diagnosis</t>
        </is>
      </c>
      <c r="B6" s="9" t="n">
        <v>20</v>
      </c>
      <c r="C6" s="17" t="n">
        <v>0.5</v>
      </c>
      <c r="D6" s="18">
        <f>B6*C6</f>
        <v/>
      </c>
      <c r="E6" s="13">
        <f>D6*Assumptions!$B$4</f>
        <v/>
      </c>
      <c r="F6" s="13">
        <f>D6*Assumptions!$B$5</f>
        <v/>
      </c>
    </row>
    <row r="7">
      <c r="A7" s="5" t="inlineStr">
        <is>
          <t>3am crisis call (wandering, fall, agitation)</t>
        </is>
      </c>
      <c r="B7" s="9" t="n">
        <v>15</v>
      </c>
      <c r="C7" s="17" t="n">
        <v>0.3</v>
      </c>
      <c r="D7" s="18">
        <f>B7*C7</f>
        <v/>
      </c>
      <c r="E7" s="13">
        <f>D7*Assumptions!$B$4</f>
        <v/>
      </c>
      <c r="F7" s="13">
        <f>D7*Assumptions!$B$5</f>
        <v/>
      </c>
    </row>
    <row r="8">
      <c r="A8" s="5" t="inlineStr">
        <is>
          <t>Daily check-in / emotional support</t>
        </is>
      </c>
      <c r="B8" s="9" t="n">
        <v>5</v>
      </c>
      <c r="C8" s="17" t="n">
        <v>4</v>
      </c>
      <c r="D8" s="18">
        <f>B8*C8</f>
        <v/>
      </c>
      <c r="E8" s="13">
        <f>D8*Assumptions!$B$4</f>
        <v/>
      </c>
      <c r="F8" s="13">
        <f>D8*Assumptions!$B$5</f>
        <v/>
      </c>
    </row>
    <row r="9">
      <c r="A9" s="19" t="inlineStr">
        <is>
          <t>TOTAL</t>
        </is>
      </c>
      <c r="D9" s="18">
        <f>SUM(D4:D8)</f>
        <v/>
      </c>
      <c r="E9" s="13">
        <f>SUM(E4:E8)</f>
        <v/>
      </c>
      <c r="F9" s="13">
        <f>SUM(F4:F8)</f>
        <v/>
      </c>
    </row>
    <row r="11">
      <c r="A11" s="2" t="inlineStr">
        <is>
          <t>Implied avg minutes per active sub</t>
        </is>
      </c>
      <c r="B11" s="18">
        <f>D9</f>
        <v/>
      </c>
    </row>
    <row r="12">
      <c r="A12" t="inlineStr">
        <is>
          <t>Implied variable cost per active sub (ElevenLabs)</t>
        </is>
      </c>
      <c r="B12" s="13">
        <f>E9</f>
        <v/>
      </c>
    </row>
    <row r="13">
      <c r="A13" t="inlineStr">
        <is>
          <t>Implied variable cost per active sub (OpenAI Realtime)</t>
        </is>
      </c>
      <c r="B13" s="13">
        <f>F9</f>
        <v/>
      </c>
    </row>
    <row r="15" ht="32" customHeight="1">
      <c r="A15" s="7" t="inlineStr">
        <is>
          <t>Edit yellow cells to model different user behavior. If your implied minutes here differ from the 'avg minutes' in Assumptions, the Assumptions value is the one that drives the Sensitivity sheet — update Assumptions to match.</t>
        </is>
      </c>
    </row>
  </sheetData>
  <mergeCells count="1">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c r="A1" s="4" t="inlineStr">
        <is>
          <t>Sensitivity — monthly profit/loss by (subscribers × avg usage)</t>
        </is>
      </c>
    </row>
    <row r="3" ht="28" customHeight="1">
      <c r="A3" s="7" t="inlineStr">
        <is>
          <t>Each cell = monthly net profit. Includes variable conversation cost, Stripe fees, and fixed costs (Enterprise + hosting + support). NEGATIVE = losing money at that scale.</t>
        </is>
      </c>
    </row>
    <row r="5">
      <c r="A5" s="2" t="inlineStr">
        <is>
          <t>(A) ElevenLabs Agents — NO Enterprise/BAA (educational only, no PHI)</t>
        </is>
      </c>
    </row>
    <row r="6">
      <c r="A6" s="20" t="inlineStr">
        <is>
          <t>Avg min/sub ↓ | Subscribers →</t>
        </is>
      </c>
      <c r="B6" s="12" t="n">
        <v>25</v>
      </c>
      <c r="C6" s="12" t="n">
        <v>50</v>
      </c>
      <c r="D6" s="12" t="n">
        <v>100</v>
      </c>
      <c r="E6" s="12" t="n">
        <v>200</v>
      </c>
      <c r="F6" s="12" t="n">
        <v>400</v>
      </c>
      <c r="G6" s="12" t="n">
        <v>800</v>
      </c>
      <c r="H6" s="12" t="n">
        <v>1500</v>
      </c>
      <c r="I6" s="12" t="n">
        <v>3000</v>
      </c>
      <c r="J6" s="12" t="n">
        <v>5000</v>
      </c>
    </row>
    <row r="7">
      <c r="A7" s="12" t="n">
        <v>10</v>
      </c>
      <c r="B7" s="21">
        <f>25*Assumptions!$B$12-25*(Assumptions!$B$12*Assumptions!$B$14+Assumptions!$B$15)-25*10*Assumptions!$B$4-(Assumptions!$B$7+Assumptions!$B$8)</f>
        <v/>
      </c>
      <c r="C7" s="21">
        <f>50*Assumptions!$B$12-50*(Assumptions!$B$12*Assumptions!$B$14+Assumptions!$B$15)-50*10*Assumptions!$B$4-(Assumptions!$B$7+Assumptions!$B$8)</f>
        <v/>
      </c>
      <c r="D7" s="21">
        <f>100*Assumptions!$B$12-100*(Assumptions!$B$12*Assumptions!$B$14+Assumptions!$B$15)-100*10*Assumptions!$B$4-(Assumptions!$B$7+Assumptions!$B$8)</f>
        <v/>
      </c>
      <c r="E7" s="21">
        <f>200*Assumptions!$B$12-200*(Assumptions!$B$12*Assumptions!$B$14+Assumptions!$B$15)-200*10*Assumptions!$B$4-(Assumptions!$B$7+Assumptions!$B$8)</f>
        <v/>
      </c>
      <c r="F7" s="21">
        <f>400*Assumptions!$B$12-400*(Assumptions!$B$12*Assumptions!$B$14+Assumptions!$B$15)-400*10*Assumptions!$B$4-(Assumptions!$B$7+Assumptions!$B$8)</f>
        <v/>
      </c>
      <c r="G7" s="21">
        <f>800*Assumptions!$B$12-800*(Assumptions!$B$12*Assumptions!$B$14+Assumptions!$B$15)-800*10*Assumptions!$B$4-(Assumptions!$B$7+Assumptions!$B$8)</f>
        <v/>
      </c>
      <c r="H7" s="21">
        <f>1500*Assumptions!$B$12-1500*(Assumptions!$B$12*Assumptions!$B$14+Assumptions!$B$15)-1500*10*Assumptions!$B$4-(Assumptions!$B$7+Assumptions!$B$8)</f>
        <v/>
      </c>
      <c r="I7" s="21">
        <f>3000*Assumptions!$B$12-3000*(Assumptions!$B$12*Assumptions!$B$14+Assumptions!$B$15)-3000*10*Assumptions!$B$4-(Assumptions!$B$7+Assumptions!$B$8)</f>
        <v/>
      </c>
      <c r="J7" s="21">
        <f>5000*Assumptions!$B$12-5000*(Assumptions!$B$12*Assumptions!$B$14+Assumptions!$B$15)-5000*10*Assumptions!$B$4-(Assumptions!$B$7+Assumptions!$B$8)</f>
        <v/>
      </c>
    </row>
    <row r="8">
      <c r="A8" s="12" t="n">
        <v>15</v>
      </c>
      <c r="B8" s="21">
        <f>25*Assumptions!$B$12-25*(Assumptions!$B$12*Assumptions!$B$14+Assumptions!$B$15)-25*15*Assumptions!$B$4-(Assumptions!$B$7+Assumptions!$B$8)</f>
        <v/>
      </c>
      <c r="C8" s="21">
        <f>50*Assumptions!$B$12-50*(Assumptions!$B$12*Assumptions!$B$14+Assumptions!$B$15)-50*15*Assumptions!$B$4-(Assumptions!$B$7+Assumptions!$B$8)</f>
        <v/>
      </c>
      <c r="D8" s="21">
        <f>100*Assumptions!$B$12-100*(Assumptions!$B$12*Assumptions!$B$14+Assumptions!$B$15)-100*15*Assumptions!$B$4-(Assumptions!$B$7+Assumptions!$B$8)</f>
        <v/>
      </c>
      <c r="E8" s="21">
        <f>200*Assumptions!$B$12-200*(Assumptions!$B$12*Assumptions!$B$14+Assumptions!$B$15)-200*15*Assumptions!$B$4-(Assumptions!$B$7+Assumptions!$B$8)</f>
        <v/>
      </c>
      <c r="F8" s="21">
        <f>400*Assumptions!$B$12-400*(Assumptions!$B$12*Assumptions!$B$14+Assumptions!$B$15)-400*15*Assumptions!$B$4-(Assumptions!$B$7+Assumptions!$B$8)</f>
        <v/>
      </c>
      <c r="G8" s="21">
        <f>800*Assumptions!$B$12-800*(Assumptions!$B$12*Assumptions!$B$14+Assumptions!$B$15)-800*15*Assumptions!$B$4-(Assumptions!$B$7+Assumptions!$B$8)</f>
        <v/>
      </c>
      <c r="H8" s="21">
        <f>1500*Assumptions!$B$12-1500*(Assumptions!$B$12*Assumptions!$B$14+Assumptions!$B$15)-1500*15*Assumptions!$B$4-(Assumptions!$B$7+Assumptions!$B$8)</f>
        <v/>
      </c>
      <c r="I8" s="21">
        <f>3000*Assumptions!$B$12-3000*(Assumptions!$B$12*Assumptions!$B$14+Assumptions!$B$15)-3000*15*Assumptions!$B$4-(Assumptions!$B$7+Assumptions!$B$8)</f>
        <v/>
      </c>
      <c r="J8" s="21">
        <f>5000*Assumptions!$B$12-5000*(Assumptions!$B$12*Assumptions!$B$14+Assumptions!$B$15)-5000*15*Assumptions!$B$4-(Assumptions!$B$7+Assumptions!$B$8)</f>
        <v/>
      </c>
    </row>
    <row r="9">
      <c r="A9" s="12" t="n">
        <v>20</v>
      </c>
      <c r="B9" s="21">
        <f>25*Assumptions!$B$12-25*(Assumptions!$B$12*Assumptions!$B$14+Assumptions!$B$15)-25*20*Assumptions!$B$4-(Assumptions!$B$7+Assumptions!$B$8)</f>
        <v/>
      </c>
      <c r="C9" s="21">
        <f>50*Assumptions!$B$12-50*(Assumptions!$B$12*Assumptions!$B$14+Assumptions!$B$15)-50*20*Assumptions!$B$4-(Assumptions!$B$7+Assumptions!$B$8)</f>
        <v/>
      </c>
      <c r="D9" s="21">
        <f>100*Assumptions!$B$12-100*(Assumptions!$B$12*Assumptions!$B$14+Assumptions!$B$15)-100*20*Assumptions!$B$4-(Assumptions!$B$7+Assumptions!$B$8)</f>
        <v/>
      </c>
      <c r="E9" s="21">
        <f>200*Assumptions!$B$12-200*(Assumptions!$B$12*Assumptions!$B$14+Assumptions!$B$15)-200*20*Assumptions!$B$4-(Assumptions!$B$7+Assumptions!$B$8)</f>
        <v/>
      </c>
      <c r="F9" s="21">
        <f>400*Assumptions!$B$12-400*(Assumptions!$B$12*Assumptions!$B$14+Assumptions!$B$15)-400*20*Assumptions!$B$4-(Assumptions!$B$7+Assumptions!$B$8)</f>
        <v/>
      </c>
      <c r="G9" s="21">
        <f>800*Assumptions!$B$12-800*(Assumptions!$B$12*Assumptions!$B$14+Assumptions!$B$15)-800*20*Assumptions!$B$4-(Assumptions!$B$7+Assumptions!$B$8)</f>
        <v/>
      </c>
      <c r="H9" s="21">
        <f>1500*Assumptions!$B$12-1500*(Assumptions!$B$12*Assumptions!$B$14+Assumptions!$B$15)-1500*20*Assumptions!$B$4-(Assumptions!$B$7+Assumptions!$B$8)</f>
        <v/>
      </c>
      <c r="I9" s="21">
        <f>3000*Assumptions!$B$12-3000*(Assumptions!$B$12*Assumptions!$B$14+Assumptions!$B$15)-3000*20*Assumptions!$B$4-(Assumptions!$B$7+Assumptions!$B$8)</f>
        <v/>
      </c>
      <c r="J9" s="21">
        <f>5000*Assumptions!$B$12-5000*(Assumptions!$B$12*Assumptions!$B$14+Assumptions!$B$15)-5000*20*Assumptions!$B$4-(Assumptions!$B$7+Assumptions!$B$8)</f>
        <v/>
      </c>
    </row>
    <row r="10">
      <c r="A10" s="12" t="n">
        <v>25</v>
      </c>
      <c r="B10" s="21">
        <f>25*Assumptions!$B$12-25*(Assumptions!$B$12*Assumptions!$B$14+Assumptions!$B$15)-25*25*Assumptions!$B$4-(Assumptions!$B$7+Assumptions!$B$8)</f>
        <v/>
      </c>
      <c r="C10" s="21">
        <f>50*Assumptions!$B$12-50*(Assumptions!$B$12*Assumptions!$B$14+Assumptions!$B$15)-50*25*Assumptions!$B$4-(Assumptions!$B$7+Assumptions!$B$8)</f>
        <v/>
      </c>
      <c r="D10" s="21">
        <f>100*Assumptions!$B$12-100*(Assumptions!$B$12*Assumptions!$B$14+Assumptions!$B$15)-100*25*Assumptions!$B$4-(Assumptions!$B$7+Assumptions!$B$8)</f>
        <v/>
      </c>
      <c r="E10" s="21">
        <f>200*Assumptions!$B$12-200*(Assumptions!$B$12*Assumptions!$B$14+Assumptions!$B$15)-200*25*Assumptions!$B$4-(Assumptions!$B$7+Assumptions!$B$8)</f>
        <v/>
      </c>
      <c r="F10" s="21">
        <f>400*Assumptions!$B$12-400*(Assumptions!$B$12*Assumptions!$B$14+Assumptions!$B$15)-400*25*Assumptions!$B$4-(Assumptions!$B$7+Assumptions!$B$8)</f>
        <v/>
      </c>
      <c r="G10" s="21">
        <f>800*Assumptions!$B$12-800*(Assumptions!$B$12*Assumptions!$B$14+Assumptions!$B$15)-800*25*Assumptions!$B$4-(Assumptions!$B$7+Assumptions!$B$8)</f>
        <v/>
      </c>
      <c r="H10" s="21">
        <f>1500*Assumptions!$B$12-1500*(Assumptions!$B$12*Assumptions!$B$14+Assumptions!$B$15)-1500*25*Assumptions!$B$4-(Assumptions!$B$7+Assumptions!$B$8)</f>
        <v/>
      </c>
      <c r="I10" s="21">
        <f>3000*Assumptions!$B$12-3000*(Assumptions!$B$12*Assumptions!$B$14+Assumptions!$B$15)-3000*25*Assumptions!$B$4-(Assumptions!$B$7+Assumptions!$B$8)</f>
        <v/>
      </c>
      <c r="J10" s="21">
        <f>5000*Assumptions!$B$12-5000*(Assumptions!$B$12*Assumptions!$B$14+Assumptions!$B$15)-5000*25*Assumptions!$B$4-(Assumptions!$B$7+Assumptions!$B$8)</f>
        <v/>
      </c>
    </row>
    <row r="11">
      <c r="A11" s="12" t="n">
        <v>30</v>
      </c>
      <c r="B11" s="21">
        <f>25*Assumptions!$B$12-25*(Assumptions!$B$12*Assumptions!$B$14+Assumptions!$B$15)-25*30*Assumptions!$B$4-(Assumptions!$B$7+Assumptions!$B$8)</f>
        <v/>
      </c>
      <c r="C11" s="21">
        <f>50*Assumptions!$B$12-50*(Assumptions!$B$12*Assumptions!$B$14+Assumptions!$B$15)-50*30*Assumptions!$B$4-(Assumptions!$B$7+Assumptions!$B$8)</f>
        <v/>
      </c>
      <c r="D11" s="21">
        <f>100*Assumptions!$B$12-100*(Assumptions!$B$12*Assumptions!$B$14+Assumptions!$B$15)-100*30*Assumptions!$B$4-(Assumptions!$B$7+Assumptions!$B$8)</f>
        <v/>
      </c>
      <c r="E11" s="21">
        <f>200*Assumptions!$B$12-200*(Assumptions!$B$12*Assumptions!$B$14+Assumptions!$B$15)-200*30*Assumptions!$B$4-(Assumptions!$B$7+Assumptions!$B$8)</f>
        <v/>
      </c>
      <c r="F11" s="21">
        <f>400*Assumptions!$B$12-400*(Assumptions!$B$12*Assumptions!$B$14+Assumptions!$B$15)-400*30*Assumptions!$B$4-(Assumptions!$B$7+Assumptions!$B$8)</f>
        <v/>
      </c>
      <c r="G11" s="21">
        <f>800*Assumptions!$B$12-800*(Assumptions!$B$12*Assumptions!$B$14+Assumptions!$B$15)-800*30*Assumptions!$B$4-(Assumptions!$B$7+Assumptions!$B$8)</f>
        <v/>
      </c>
      <c r="H11" s="21">
        <f>1500*Assumptions!$B$12-1500*(Assumptions!$B$12*Assumptions!$B$14+Assumptions!$B$15)-1500*30*Assumptions!$B$4-(Assumptions!$B$7+Assumptions!$B$8)</f>
        <v/>
      </c>
      <c r="I11" s="21">
        <f>3000*Assumptions!$B$12-3000*(Assumptions!$B$12*Assumptions!$B$14+Assumptions!$B$15)-3000*30*Assumptions!$B$4-(Assumptions!$B$7+Assumptions!$B$8)</f>
        <v/>
      </c>
      <c r="J11" s="21">
        <f>5000*Assumptions!$B$12-5000*(Assumptions!$B$12*Assumptions!$B$14+Assumptions!$B$15)-5000*30*Assumptions!$B$4-(Assumptions!$B$7+Assumptions!$B$8)</f>
        <v/>
      </c>
    </row>
    <row r="12">
      <c r="A12" s="12" t="n">
        <v>35</v>
      </c>
      <c r="B12" s="21">
        <f>25*Assumptions!$B$12-25*(Assumptions!$B$12*Assumptions!$B$14+Assumptions!$B$15)-25*35*Assumptions!$B$4-(Assumptions!$B$7+Assumptions!$B$8)</f>
        <v/>
      </c>
      <c r="C12" s="21">
        <f>50*Assumptions!$B$12-50*(Assumptions!$B$12*Assumptions!$B$14+Assumptions!$B$15)-50*35*Assumptions!$B$4-(Assumptions!$B$7+Assumptions!$B$8)</f>
        <v/>
      </c>
      <c r="D12" s="21">
        <f>100*Assumptions!$B$12-100*(Assumptions!$B$12*Assumptions!$B$14+Assumptions!$B$15)-100*35*Assumptions!$B$4-(Assumptions!$B$7+Assumptions!$B$8)</f>
        <v/>
      </c>
      <c r="E12" s="21">
        <f>200*Assumptions!$B$12-200*(Assumptions!$B$12*Assumptions!$B$14+Assumptions!$B$15)-200*35*Assumptions!$B$4-(Assumptions!$B$7+Assumptions!$B$8)</f>
        <v/>
      </c>
      <c r="F12" s="21">
        <f>400*Assumptions!$B$12-400*(Assumptions!$B$12*Assumptions!$B$14+Assumptions!$B$15)-400*35*Assumptions!$B$4-(Assumptions!$B$7+Assumptions!$B$8)</f>
        <v/>
      </c>
      <c r="G12" s="21">
        <f>800*Assumptions!$B$12-800*(Assumptions!$B$12*Assumptions!$B$14+Assumptions!$B$15)-800*35*Assumptions!$B$4-(Assumptions!$B$7+Assumptions!$B$8)</f>
        <v/>
      </c>
      <c r="H12" s="21">
        <f>1500*Assumptions!$B$12-1500*(Assumptions!$B$12*Assumptions!$B$14+Assumptions!$B$15)-1500*35*Assumptions!$B$4-(Assumptions!$B$7+Assumptions!$B$8)</f>
        <v/>
      </c>
      <c r="I12" s="21">
        <f>3000*Assumptions!$B$12-3000*(Assumptions!$B$12*Assumptions!$B$14+Assumptions!$B$15)-3000*35*Assumptions!$B$4-(Assumptions!$B$7+Assumptions!$B$8)</f>
        <v/>
      </c>
      <c r="J12" s="21">
        <f>5000*Assumptions!$B$12-5000*(Assumptions!$B$12*Assumptions!$B$14+Assumptions!$B$15)-5000*35*Assumptions!$B$4-(Assumptions!$B$7+Assumptions!$B$8)</f>
        <v/>
      </c>
    </row>
    <row r="13">
      <c r="A13" s="12" t="n">
        <v>40</v>
      </c>
      <c r="B13" s="21">
        <f>25*Assumptions!$B$12-25*(Assumptions!$B$12*Assumptions!$B$14+Assumptions!$B$15)-25*40*Assumptions!$B$4-(Assumptions!$B$7+Assumptions!$B$8)</f>
        <v/>
      </c>
      <c r="C13" s="21">
        <f>50*Assumptions!$B$12-50*(Assumptions!$B$12*Assumptions!$B$14+Assumptions!$B$15)-50*40*Assumptions!$B$4-(Assumptions!$B$7+Assumptions!$B$8)</f>
        <v/>
      </c>
      <c r="D13" s="21">
        <f>100*Assumptions!$B$12-100*(Assumptions!$B$12*Assumptions!$B$14+Assumptions!$B$15)-100*40*Assumptions!$B$4-(Assumptions!$B$7+Assumptions!$B$8)</f>
        <v/>
      </c>
      <c r="E13" s="21">
        <f>200*Assumptions!$B$12-200*(Assumptions!$B$12*Assumptions!$B$14+Assumptions!$B$15)-200*40*Assumptions!$B$4-(Assumptions!$B$7+Assumptions!$B$8)</f>
        <v/>
      </c>
      <c r="F13" s="21">
        <f>400*Assumptions!$B$12-400*(Assumptions!$B$12*Assumptions!$B$14+Assumptions!$B$15)-400*40*Assumptions!$B$4-(Assumptions!$B$7+Assumptions!$B$8)</f>
        <v/>
      </c>
      <c r="G13" s="21">
        <f>800*Assumptions!$B$12-800*(Assumptions!$B$12*Assumptions!$B$14+Assumptions!$B$15)-800*40*Assumptions!$B$4-(Assumptions!$B$7+Assumptions!$B$8)</f>
        <v/>
      </c>
      <c r="H13" s="21">
        <f>1500*Assumptions!$B$12-1500*(Assumptions!$B$12*Assumptions!$B$14+Assumptions!$B$15)-1500*40*Assumptions!$B$4-(Assumptions!$B$7+Assumptions!$B$8)</f>
        <v/>
      </c>
      <c r="I13" s="21">
        <f>3000*Assumptions!$B$12-3000*(Assumptions!$B$12*Assumptions!$B$14+Assumptions!$B$15)-3000*40*Assumptions!$B$4-(Assumptions!$B$7+Assumptions!$B$8)</f>
        <v/>
      </c>
      <c r="J13" s="21">
        <f>5000*Assumptions!$B$12-5000*(Assumptions!$B$12*Assumptions!$B$14+Assumptions!$B$15)-5000*40*Assumptions!$B$4-(Assumptions!$B$7+Assumptions!$B$8)</f>
        <v/>
      </c>
    </row>
    <row r="14">
      <c r="A14" s="12" t="n">
        <v>45</v>
      </c>
      <c r="B14" s="21">
        <f>25*Assumptions!$B$12-25*(Assumptions!$B$12*Assumptions!$B$14+Assumptions!$B$15)-25*45*Assumptions!$B$4-(Assumptions!$B$7+Assumptions!$B$8)</f>
        <v/>
      </c>
      <c r="C14" s="21">
        <f>50*Assumptions!$B$12-50*(Assumptions!$B$12*Assumptions!$B$14+Assumptions!$B$15)-50*45*Assumptions!$B$4-(Assumptions!$B$7+Assumptions!$B$8)</f>
        <v/>
      </c>
      <c r="D14" s="21">
        <f>100*Assumptions!$B$12-100*(Assumptions!$B$12*Assumptions!$B$14+Assumptions!$B$15)-100*45*Assumptions!$B$4-(Assumptions!$B$7+Assumptions!$B$8)</f>
        <v/>
      </c>
      <c r="E14" s="21">
        <f>200*Assumptions!$B$12-200*(Assumptions!$B$12*Assumptions!$B$14+Assumptions!$B$15)-200*45*Assumptions!$B$4-(Assumptions!$B$7+Assumptions!$B$8)</f>
        <v/>
      </c>
      <c r="F14" s="21">
        <f>400*Assumptions!$B$12-400*(Assumptions!$B$12*Assumptions!$B$14+Assumptions!$B$15)-400*45*Assumptions!$B$4-(Assumptions!$B$7+Assumptions!$B$8)</f>
        <v/>
      </c>
      <c r="G14" s="21">
        <f>800*Assumptions!$B$12-800*(Assumptions!$B$12*Assumptions!$B$14+Assumptions!$B$15)-800*45*Assumptions!$B$4-(Assumptions!$B$7+Assumptions!$B$8)</f>
        <v/>
      </c>
      <c r="H14" s="21">
        <f>1500*Assumptions!$B$12-1500*(Assumptions!$B$12*Assumptions!$B$14+Assumptions!$B$15)-1500*45*Assumptions!$B$4-(Assumptions!$B$7+Assumptions!$B$8)</f>
        <v/>
      </c>
      <c r="I14" s="21">
        <f>3000*Assumptions!$B$12-3000*(Assumptions!$B$12*Assumptions!$B$14+Assumptions!$B$15)-3000*45*Assumptions!$B$4-(Assumptions!$B$7+Assumptions!$B$8)</f>
        <v/>
      </c>
      <c r="J14" s="21">
        <f>5000*Assumptions!$B$12-5000*(Assumptions!$B$12*Assumptions!$B$14+Assumptions!$B$15)-5000*45*Assumptions!$B$4-(Assumptions!$B$7+Assumptions!$B$8)</f>
        <v/>
      </c>
    </row>
    <row r="17">
      <c r="A17" s="2" t="inlineStr">
        <is>
          <t>(B) ElevenLabs Agents — WITH Enterprise + BAA ($1250/mo fixed)</t>
        </is>
      </c>
    </row>
    <row r="18">
      <c r="A18" s="20" t="inlineStr">
        <is>
          <t>Avg min/sub ↓ | Subscribers →</t>
        </is>
      </c>
      <c r="B18" s="12" t="n">
        <v>25</v>
      </c>
      <c r="C18" s="12" t="n">
        <v>50</v>
      </c>
      <c r="D18" s="12" t="n">
        <v>100</v>
      </c>
      <c r="E18" s="12" t="n">
        <v>200</v>
      </c>
      <c r="F18" s="12" t="n">
        <v>400</v>
      </c>
      <c r="G18" s="12" t="n">
        <v>800</v>
      </c>
      <c r="H18" s="12" t="n">
        <v>1500</v>
      </c>
      <c r="I18" s="12" t="n">
        <v>3000</v>
      </c>
      <c r="J18" s="12" t="n">
        <v>5000</v>
      </c>
    </row>
    <row r="19">
      <c r="A19" s="12" t="n">
        <v>10</v>
      </c>
      <c r="B19" s="21">
        <f>25*Assumptions!$B$12-25*(Assumptions!$B$12*Assumptions!$B$14+Assumptions!$B$15)-25*10*Assumptions!$B$4-(Assumptions!$B$6+Assumptions!$B$7+Assumptions!$B$8)</f>
        <v/>
      </c>
      <c r="C19" s="21">
        <f>50*Assumptions!$B$12-50*(Assumptions!$B$12*Assumptions!$B$14+Assumptions!$B$15)-50*10*Assumptions!$B$4-(Assumptions!$B$6+Assumptions!$B$7+Assumptions!$B$8)</f>
        <v/>
      </c>
      <c r="D19" s="21">
        <f>100*Assumptions!$B$12-100*(Assumptions!$B$12*Assumptions!$B$14+Assumptions!$B$15)-100*10*Assumptions!$B$4-(Assumptions!$B$6+Assumptions!$B$7+Assumptions!$B$8)</f>
        <v/>
      </c>
      <c r="E19" s="21">
        <f>200*Assumptions!$B$12-200*(Assumptions!$B$12*Assumptions!$B$14+Assumptions!$B$15)-200*10*Assumptions!$B$4-(Assumptions!$B$6+Assumptions!$B$7+Assumptions!$B$8)</f>
        <v/>
      </c>
      <c r="F19" s="21">
        <f>400*Assumptions!$B$12-400*(Assumptions!$B$12*Assumptions!$B$14+Assumptions!$B$15)-400*10*Assumptions!$B$4-(Assumptions!$B$6+Assumptions!$B$7+Assumptions!$B$8)</f>
        <v/>
      </c>
      <c r="G19" s="21">
        <f>800*Assumptions!$B$12-800*(Assumptions!$B$12*Assumptions!$B$14+Assumptions!$B$15)-800*10*Assumptions!$B$4-(Assumptions!$B$6+Assumptions!$B$7+Assumptions!$B$8)</f>
        <v/>
      </c>
      <c r="H19" s="21">
        <f>1500*Assumptions!$B$12-1500*(Assumptions!$B$12*Assumptions!$B$14+Assumptions!$B$15)-1500*10*Assumptions!$B$4-(Assumptions!$B$6+Assumptions!$B$7+Assumptions!$B$8)</f>
        <v/>
      </c>
      <c r="I19" s="21">
        <f>3000*Assumptions!$B$12-3000*(Assumptions!$B$12*Assumptions!$B$14+Assumptions!$B$15)-3000*10*Assumptions!$B$4-(Assumptions!$B$6+Assumptions!$B$7+Assumptions!$B$8)</f>
        <v/>
      </c>
      <c r="J19" s="21">
        <f>5000*Assumptions!$B$12-5000*(Assumptions!$B$12*Assumptions!$B$14+Assumptions!$B$15)-5000*10*Assumptions!$B$4-(Assumptions!$B$6+Assumptions!$B$7+Assumptions!$B$8)</f>
        <v/>
      </c>
    </row>
    <row r="20">
      <c r="A20" s="12" t="n">
        <v>15</v>
      </c>
      <c r="B20" s="21">
        <f>25*Assumptions!$B$12-25*(Assumptions!$B$12*Assumptions!$B$14+Assumptions!$B$15)-25*15*Assumptions!$B$4-(Assumptions!$B$6+Assumptions!$B$7+Assumptions!$B$8)</f>
        <v/>
      </c>
      <c r="C20" s="21">
        <f>50*Assumptions!$B$12-50*(Assumptions!$B$12*Assumptions!$B$14+Assumptions!$B$15)-50*15*Assumptions!$B$4-(Assumptions!$B$6+Assumptions!$B$7+Assumptions!$B$8)</f>
        <v/>
      </c>
      <c r="D20" s="21">
        <f>100*Assumptions!$B$12-100*(Assumptions!$B$12*Assumptions!$B$14+Assumptions!$B$15)-100*15*Assumptions!$B$4-(Assumptions!$B$6+Assumptions!$B$7+Assumptions!$B$8)</f>
        <v/>
      </c>
      <c r="E20" s="21">
        <f>200*Assumptions!$B$12-200*(Assumptions!$B$12*Assumptions!$B$14+Assumptions!$B$15)-200*15*Assumptions!$B$4-(Assumptions!$B$6+Assumptions!$B$7+Assumptions!$B$8)</f>
        <v/>
      </c>
      <c r="F20" s="21">
        <f>400*Assumptions!$B$12-400*(Assumptions!$B$12*Assumptions!$B$14+Assumptions!$B$15)-400*15*Assumptions!$B$4-(Assumptions!$B$6+Assumptions!$B$7+Assumptions!$B$8)</f>
        <v/>
      </c>
      <c r="G20" s="21">
        <f>800*Assumptions!$B$12-800*(Assumptions!$B$12*Assumptions!$B$14+Assumptions!$B$15)-800*15*Assumptions!$B$4-(Assumptions!$B$6+Assumptions!$B$7+Assumptions!$B$8)</f>
        <v/>
      </c>
      <c r="H20" s="21">
        <f>1500*Assumptions!$B$12-1500*(Assumptions!$B$12*Assumptions!$B$14+Assumptions!$B$15)-1500*15*Assumptions!$B$4-(Assumptions!$B$6+Assumptions!$B$7+Assumptions!$B$8)</f>
        <v/>
      </c>
      <c r="I20" s="21">
        <f>3000*Assumptions!$B$12-3000*(Assumptions!$B$12*Assumptions!$B$14+Assumptions!$B$15)-3000*15*Assumptions!$B$4-(Assumptions!$B$6+Assumptions!$B$7+Assumptions!$B$8)</f>
        <v/>
      </c>
      <c r="J20" s="21">
        <f>5000*Assumptions!$B$12-5000*(Assumptions!$B$12*Assumptions!$B$14+Assumptions!$B$15)-5000*15*Assumptions!$B$4-(Assumptions!$B$6+Assumptions!$B$7+Assumptions!$B$8)</f>
        <v/>
      </c>
    </row>
    <row r="21">
      <c r="A21" s="12" t="n">
        <v>20</v>
      </c>
      <c r="B21" s="21">
        <f>25*Assumptions!$B$12-25*(Assumptions!$B$12*Assumptions!$B$14+Assumptions!$B$15)-25*20*Assumptions!$B$4-(Assumptions!$B$6+Assumptions!$B$7+Assumptions!$B$8)</f>
        <v/>
      </c>
      <c r="C21" s="21">
        <f>50*Assumptions!$B$12-50*(Assumptions!$B$12*Assumptions!$B$14+Assumptions!$B$15)-50*20*Assumptions!$B$4-(Assumptions!$B$6+Assumptions!$B$7+Assumptions!$B$8)</f>
        <v/>
      </c>
      <c r="D21" s="21">
        <f>100*Assumptions!$B$12-100*(Assumptions!$B$12*Assumptions!$B$14+Assumptions!$B$15)-100*20*Assumptions!$B$4-(Assumptions!$B$6+Assumptions!$B$7+Assumptions!$B$8)</f>
        <v/>
      </c>
      <c r="E21" s="21">
        <f>200*Assumptions!$B$12-200*(Assumptions!$B$12*Assumptions!$B$14+Assumptions!$B$15)-200*20*Assumptions!$B$4-(Assumptions!$B$6+Assumptions!$B$7+Assumptions!$B$8)</f>
        <v/>
      </c>
      <c r="F21" s="21">
        <f>400*Assumptions!$B$12-400*(Assumptions!$B$12*Assumptions!$B$14+Assumptions!$B$15)-400*20*Assumptions!$B$4-(Assumptions!$B$6+Assumptions!$B$7+Assumptions!$B$8)</f>
        <v/>
      </c>
      <c r="G21" s="21">
        <f>800*Assumptions!$B$12-800*(Assumptions!$B$12*Assumptions!$B$14+Assumptions!$B$15)-800*20*Assumptions!$B$4-(Assumptions!$B$6+Assumptions!$B$7+Assumptions!$B$8)</f>
        <v/>
      </c>
      <c r="H21" s="21">
        <f>1500*Assumptions!$B$12-1500*(Assumptions!$B$12*Assumptions!$B$14+Assumptions!$B$15)-1500*20*Assumptions!$B$4-(Assumptions!$B$6+Assumptions!$B$7+Assumptions!$B$8)</f>
        <v/>
      </c>
      <c r="I21" s="21">
        <f>3000*Assumptions!$B$12-3000*(Assumptions!$B$12*Assumptions!$B$14+Assumptions!$B$15)-3000*20*Assumptions!$B$4-(Assumptions!$B$6+Assumptions!$B$7+Assumptions!$B$8)</f>
        <v/>
      </c>
      <c r="J21" s="21">
        <f>5000*Assumptions!$B$12-5000*(Assumptions!$B$12*Assumptions!$B$14+Assumptions!$B$15)-5000*20*Assumptions!$B$4-(Assumptions!$B$6+Assumptions!$B$7+Assumptions!$B$8)</f>
        <v/>
      </c>
    </row>
    <row r="22">
      <c r="A22" s="12" t="n">
        <v>25</v>
      </c>
      <c r="B22" s="21">
        <f>25*Assumptions!$B$12-25*(Assumptions!$B$12*Assumptions!$B$14+Assumptions!$B$15)-25*25*Assumptions!$B$4-(Assumptions!$B$6+Assumptions!$B$7+Assumptions!$B$8)</f>
        <v/>
      </c>
      <c r="C22" s="21">
        <f>50*Assumptions!$B$12-50*(Assumptions!$B$12*Assumptions!$B$14+Assumptions!$B$15)-50*25*Assumptions!$B$4-(Assumptions!$B$6+Assumptions!$B$7+Assumptions!$B$8)</f>
        <v/>
      </c>
      <c r="D22" s="21">
        <f>100*Assumptions!$B$12-100*(Assumptions!$B$12*Assumptions!$B$14+Assumptions!$B$15)-100*25*Assumptions!$B$4-(Assumptions!$B$6+Assumptions!$B$7+Assumptions!$B$8)</f>
        <v/>
      </c>
      <c r="E22" s="21">
        <f>200*Assumptions!$B$12-200*(Assumptions!$B$12*Assumptions!$B$14+Assumptions!$B$15)-200*25*Assumptions!$B$4-(Assumptions!$B$6+Assumptions!$B$7+Assumptions!$B$8)</f>
        <v/>
      </c>
      <c r="F22" s="21">
        <f>400*Assumptions!$B$12-400*(Assumptions!$B$12*Assumptions!$B$14+Assumptions!$B$15)-400*25*Assumptions!$B$4-(Assumptions!$B$6+Assumptions!$B$7+Assumptions!$B$8)</f>
        <v/>
      </c>
      <c r="G22" s="21">
        <f>800*Assumptions!$B$12-800*(Assumptions!$B$12*Assumptions!$B$14+Assumptions!$B$15)-800*25*Assumptions!$B$4-(Assumptions!$B$6+Assumptions!$B$7+Assumptions!$B$8)</f>
        <v/>
      </c>
      <c r="H22" s="21">
        <f>1500*Assumptions!$B$12-1500*(Assumptions!$B$12*Assumptions!$B$14+Assumptions!$B$15)-1500*25*Assumptions!$B$4-(Assumptions!$B$6+Assumptions!$B$7+Assumptions!$B$8)</f>
        <v/>
      </c>
      <c r="I22" s="21">
        <f>3000*Assumptions!$B$12-3000*(Assumptions!$B$12*Assumptions!$B$14+Assumptions!$B$15)-3000*25*Assumptions!$B$4-(Assumptions!$B$6+Assumptions!$B$7+Assumptions!$B$8)</f>
        <v/>
      </c>
      <c r="J22" s="21">
        <f>5000*Assumptions!$B$12-5000*(Assumptions!$B$12*Assumptions!$B$14+Assumptions!$B$15)-5000*25*Assumptions!$B$4-(Assumptions!$B$6+Assumptions!$B$7+Assumptions!$B$8)</f>
        <v/>
      </c>
    </row>
    <row r="23">
      <c r="A23" s="12" t="n">
        <v>30</v>
      </c>
      <c r="B23" s="21">
        <f>25*Assumptions!$B$12-25*(Assumptions!$B$12*Assumptions!$B$14+Assumptions!$B$15)-25*30*Assumptions!$B$4-(Assumptions!$B$6+Assumptions!$B$7+Assumptions!$B$8)</f>
        <v/>
      </c>
      <c r="C23" s="21">
        <f>50*Assumptions!$B$12-50*(Assumptions!$B$12*Assumptions!$B$14+Assumptions!$B$15)-50*30*Assumptions!$B$4-(Assumptions!$B$6+Assumptions!$B$7+Assumptions!$B$8)</f>
        <v/>
      </c>
      <c r="D23" s="21">
        <f>100*Assumptions!$B$12-100*(Assumptions!$B$12*Assumptions!$B$14+Assumptions!$B$15)-100*30*Assumptions!$B$4-(Assumptions!$B$6+Assumptions!$B$7+Assumptions!$B$8)</f>
        <v/>
      </c>
      <c r="E23" s="21">
        <f>200*Assumptions!$B$12-200*(Assumptions!$B$12*Assumptions!$B$14+Assumptions!$B$15)-200*30*Assumptions!$B$4-(Assumptions!$B$6+Assumptions!$B$7+Assumptions!$B$8)</f>
        <v/>
      </c>
      <c r="F23" s="21">
        <f>400*Assumptions!$B$12-400*(Assumptions!$B$12*Assumptions!$B$14+Assumptions!$B$15)-400*30*Assumptions!$B$4-(Assumptions!$B$6+Assumptions!$B$7+Assumptions!$B$8)</f>
        <v/>
      </c>
      <c r="G23" s="21">
        <f>800*Assumptions!$B$12-800*(Assumptions!$B$12*Assumptions!$B$14+Assumptions!$B$15)-800*30*Assumptions!$B$4-(Assumptions!$B$6+Assumptions!$B$7+Assumptions!$B$8)</f>
        <v/>
      </c>
      <c r="H23" s="21">
        <f>1500*Assumptions!$B$12-1500*(Assumptions!$B$12*Assumptions!$B$14+Assumptions!$B$15)-1500*30*Assumptions!$B$4-(Assumptions!$B$6+Assumptions!$B$7+Assumptions!$B$8)</f>
        <v/>
      </c>
      <c r="I23" s="21">
        <f>3000*Assumptions!$B$12-3000*(Assumptions!$B$12*Assumptions!$B$14+Assumptions!$B$15)-3000*30*Assumptions!$B$4-(Assumptions!$B$6+Assumptions!$B$7+Assumptions!$B$8)</f>
        <v/>
      </c>
      <c r="J23" s="21">
        <f>5000*Assumptions!$B$12-5000*(Assumptions!$B$12*Assumptions!$B$14+Assumptions!$B$15)-5000*30*Assumptions!$B$4-(Assumptions!$B$6+Assumptions!$B$7+Assumptions!$B$8)</f>
        <v/>
      </c>
    </row>
    <row r="24">
      <c r="A24" s="12" t="n">
        <v>35</v>
      </c>
      <c r="B24" s="21">
        <f>25*Assumptions!$B$12-25*(Assumptions!$B$12*Assumptions!$B$14+Assumptions!$B$15)-25*35*Assumptions!$B$4-(Assumptions!$B$6+Assumptions!$B$7+Assumptions!$B$8)</f>
        <v/>
      </c>
      <c r="C24" s="21">
        <f>50*Assumptions!$B$12-50*(Assumptions!$B$12*Assumptions!$B$14+Assumptions!$B$15)-50*35*Assumptions!$B$4-(Assumptions!$B$6+Assumptions!$B$7+Assumptions!$B$8)</f>
        <v/>
      </c>
      <c r="D24" s="21">
        <f>100*Assumptions!$B$12-100*(Assumptions!$B$12*Assumptions!$B$14+Assumptions!$B$15)-100*35*Assumptions!$B$4-(Assumptions!$B$6+Assumptions!$B$7+Assumptions!$B$8)</f>
        <v/>
      </c>
      <c r="E24" s="21">
        <f>200*Assumptions!$B$12-200*(Assumptions!$B$12*Assumptions!$B$14+Assumptions!$B$15)-200*35*Assumptions!$B$4-(Assumptions!$B$6+Assumptions!$B$7+Assumptions!$B$8)</f>
        <v/>
      </c>
      <c r="F24" s="21">
        <f>400*Assumptions!$B$12-400*(Assumptions!$B$12*Assumptions!$B$14+Assumptions!$B$15)-400*35*Assumptions!$B$4-(Assumptions!$B$6+Assumptions!$B$7+Assumptions!$B$8)</f>
        <v/>
      </c>
      <c r="G24" s="21">
        <f>800*Assumptions!$B$12-800*(Assumptions!$B$12*Assumptions!$B$14+Assumptions!$B$15)-800*35*Assumptions!$B$4-(Assumptions!$B$6+Assumptions!$B$7+Assumptions!$B$8)</f>
        <v/>
      </c>
      <c r="H24" s="21">
        <f>1500*Assumptions!$B$12-1500*(Assumptions!$B$12*Assumptions!$B$14+Assumptions!$B$15)-1500*35*Assumptions!$B$4-(Assumptions!$B$6+Assumptions!$B$7+Assumptions!$B$8)</f>
        <v/>
      </c>
      <c r="I24" s="21">
        <f>3000*Assumptions!$B$12-3000*(Assumptions!$B$12*Assumptions!$B$14+Assumptions!$B$15)-3000*35*Assumptions!$B$4-(Assumptions!$B$6+Assumptions!$B$7+Assumptions!$B$8)</f>
        <v/>
      </c>
      <c r="J24" s="21">
        <f>5000*Assumptions!$B$12-5000*(Assumptions!$B$12*Assumptions!$B$14+Assumptions!$B$15)-5000*35*Assumptions!$B$4-(Assumptions!$B$6+Assumptions!$B$7+Assumptions!$B$8)</f>
        <v/>
      </c>
    </row>
    <row r="25">
      <c r="A25" s="12" t="n">
        <v>40</v>
      </c>
      <c r="B25" s="21">
        <f>25*Assumptions!$B$12-25*(Assumptions!$B$12*Assumptions!$B$14+Assumptions!$B$15)-25*40*Assumptions!$B$4-(Assumptions!$B$6+Assumptions!$B$7+Assumptions!$B$8)</f>
        <v/>
      </c>
      <c r="C25" s="21">
        <f>50*Assumptions!$B$12-50*(Assumptions!$B$12*Assumptions!$B$14+Assumptions!$B$15)-50*40*Assumptions!$B$4-(Assumptions!$B$6+Assumptions!$B$7+Assumptions!$B$8)</f>
        <v/>
      </c>
      <c r="D25" s="21">
        <f>100*Assumptions!$B$12-100*(Assumptions!$B$12*Assumptions!$B$14+Assumptions!$B$15)-100*40*Assumptions!$B$4-(Assumptions!$B$6+Assumptions!$B$7+Assumptions!$B$8)</f>
        <v/>
      </c>
      <c r="E25" s="21">
        <f>200*Assumptions!$B$12-200*(Assumptions!$B$12*Assumptions!$B$14+Assumptions!$B$15)-200*40*Assumptions!$B$4-(Assumptions!$B$6+Assumptions!$B$7+Assumptions!$B$8)</f>
        <v/>
      </c>
      <c r="F25" s="21">
        <f>400*Assumptions!$B$12-400*(Assumptions!$B$12*Assumptions!$B$14+Assumptions!$B$15)-400*40*Assumptions!$B$4-(Assumptions!$B$6+Assumptions!$B$7+Assumptions!$B$8)</f>
        <v/>
      </c>
      <c r="G25" s="21">
        <f>800*Assumptions!$B$12-800*(Assumptions!$B$12*Assumptions!$B$14+Assumptions!$B$15)-800*40*Assumptions!$B$4-(Assumptions!$B$6+Assumptions!$B$7+Assumptions!$B$8)</f>
        <v/>
      </c>
      <c r="H25" s="21">
        <f>1500*Assumptions!$B$12-1500*(Assumptions!$B$12*Assumptions!$B$14+Assumptions!$B$15)-1500*40*Assumptions!$B$4-(Assumptions!$B$6+Assumptions!$B$7+Assumptions!$B$8)</f>
        <v/>
      </c>
      <c r="I25" s="21">
        <f>3000*Assumptions!$B$12-3000*(Assumptions!$B$12*Assumptions!$B$14+Assumptions!$B$15)-3000*40*Assumptions!$B$4-(Assumptions!$B$6+Assumptions!$B$7+Assumptions!$B$8)</f>
        <v/>
      </c>
      <c r="J25" s="21">
        <f>5000*Assumptions!$B$12-5000*(Assumptions!$B$12*Assumptions!$B$14+Assumptions!$B$15)-5000*40*Assumptions!$B$4-(Assumptions!$B$6+Assumptions!$B$7+Assumptions!$B$8)</f>
        <v/>
      </c>
    </row>
    <row r="26">
      <c r="A26" s="12" t="n">
        <v>45</v>
      </c>
      <c r="B26" s="21">
        <f>25*Assumptions!$B$12-25*(Assumptions!$B$12*Assumptions!$B$14+Assumptions!$B$15)-25*45*Assumptions!$B$4-(Assumptions!$B$6+Assumptions!$B$7+Assumptions!$B$8)</f>
        <v/>
      </c>
      <c r="C26" s="21">
        <f>50*Assumptions!$B$12-50*(Assumptions!$B$12*Assumptions!$B$14+Assumptions!$B$15)-50*45*Assumptions!$B$4-(Assumptions!$B$6+Assumptions!$B$7+Assumptions!$B$8)</f>
        <v/>
      </c>
      <c r="D26" s="21">
        <f>100*Assumptions!$B$12-100*(Assumptions!$B$12*Assumptions!$B$14+Assumptions!$B$15)-100*45*Assumptions!$B$4-(Assumptions!$B$6+Assumptions!$B$7+Assumptions!$B$8)</f>
        <v/>
      </c>
      <c r="E26" s="21">
        <f>200*Assumptions!$B$12-200*(Assumptions!$B$12*Assumptions!$B$14+Assumptions!$B$15)-200*45*Assumptions!$B$4-(Assumptions!$B$6+Assumptions!$B$7+Assumptions!$B$8)</f>
        <v/>
      </c>
      <c r="F26" s="21">
        <f>400*Assumptions!$B$12-400*(Assumptions!$B$12*Assumptions!$B$14+Assumptions!$B$15)-400*45*Assumptions!$B$4-(Assumptions!$B$6+Assumptions!$B$7+Assumptions!$B$8)</f>
        <v/>
      </c>
      <c r="G26" s="21">
        <f>800*Assumptions!$B$12-800*(Assumptions!$B$12*Assumptions!$B$14+Assumptions!$B$15)-800*45*Assumptions!$B$4-(Assumptions!$B$6+Assumptions!$B$7+Assumptions!$B$8)</f>
        <v/>
      </c>
      <c r="H26" s="21">
        <f>1500*Assumptions!$B$12-1500*(Assumptions!$B$12*Assumptions!$B$14+Assumptions!$B$15)-1500*45*Assumptions!$B$4-(Assumptions!$B$6+Assumptions!$B$7+Assumptions!$B$8)</f>
        <v/>
      </c>
      <c r="I26" s="21">
        <f>3000*Assumptions!$B$12-3000*(Assumptions!$B$12*Assumptions!$B$14+Assumptions!$B$15)-3000*45*Assumptions!$B$4-(Assumptions!$B$6+Assumptions!$B$7+Assumptions!$B$8)</f>
        <v/>
      </c>
      <c r="J26" s="21">
        <f>5000*Assumptions!$B$12-5000*(Assumptions!$B$12*Assumptions!$B$14+Assumptions!$B$15)-5000*45*Assumptions!$B$4-(Assumptions!$B$6+Assumptions!$B$7+Assumptions!$B$8)</f>
        <v/>
      </c>
    </row>
    <row r="29">
      <c r="A29" s="2" t="inlineStr">
        <is>
          <t>(C) OpenAI Realtime — no Enterprise tier modeled</t>
        </is>
      </c>
    </row>
    <row r="30">
      <c r="A30" s="20" t="inlineStr">
        <is>
          <t>Avg min/sub ↓ | Subscribers →</t>
        </is>
      </c>
      <c r="B30" s="12" t="n">
        <v>25</v>
      </c>
      <c r="C30" s="12" t="n">
        <v>50</v>
      </c>
      <c r="D30" s="12" t="n">
        <v>100</v>
      </c>
      <c r="E30" s="12" t="n">
        <v>200</v>
      </c>
      <c r="F30" s="12" t="n">
        <v>400</v>
      </c>
      <c r="G30" s="12" t="n">
        <v>800</v>
      </c>
      <c r="H30" s="12" t="n">
        <v>1500</v>
      </c>
      <c r="I30" s="12" t="n">
        <v>3000</v>
      </c>
      <c r="J30" s="12" t="n">
        <v>5000</v>
      </c>
    </row>
    <row r="31">
      <c r="A31" s="12" t="n">
        <v>10</v>
      </c>
      <c r="B31" s="21">
        <f>25*Assumptions!$B$12-25*(Assumptions!$B$12*Assumptions!$B$14+Assumptions!$B$15)-25*10*Assumptions!$B$5-(Assumptions!$B$7+Assumptions!$B$8)</f>
        <v/>
      </c>
      <c r="C31" s="21">
        <f>50*Assumptions!$B$12-50*(Assumptions!$B$12*Assumptions!$B$14+Assumptions!$B$15)-50*10*Assumptions!$B$5-(Assumptions!$B$7+Assumptions!$B$8)</f>
        <v/>
      </c>
      <c r="D31" s="21">
        <f>100*Assumptions!$B$12-100*(Assumptions!$B$12*Assumptions!$B$14+Assumptions!$B$15)-100*10*Assumptions!$B$5-(Assumptions!$B$7+Assumptions!$B$8)</f>
        <v/>
      </c>
      <c r="E31" s="21">
        <f>200*Assumptions!$B$12-200*(Assumptions!$B$12*Assumptions!$B$14+Assumptions!$B$15)-200*10*Assumptions!$B$5-(Assumptions!$B$7+Assumptions!$B$8)</f>
        <v/>
      </c>
      <c r="F31" s="21">
        <f>400*Assumptions!$B$12-400*(Assumptions!$B$12*Assumptions!$B$14+Assumptions!$B$15)-400*10*Assumptions!$B$5-(Assumptions!$B$7+Assumptions!$B$8)</f>
        <v/>
      </c>
      <c r="G31" s="21">
        <f>800*Assumptions!$B$12-800*(Assumptions!$B$12*Assumptions!$B$14+Assumptions!$B$15)-800*10*Assumptions!$B$5-(Assumptions!$B$7+Assumptions!$B$8)</f>
        <v/>
      </c>
      <c r="H31" s="21">
        <f>1500*Assumptions!$B$12-1500*(Assumptions!$B$12*Assumptions!$B$14+Assumptions!$B$15)-1500*10*Assumptions!$B$5-(Assumptions!$B$7+Assumptions!$B$8)</f>
        <v/>
      </c>
      <c r="I31" s="21">
        <f>3000*Assumptions!$B$12-3000*(Assumptions!$B$12*Assumptions!$B$14+Assumptions!$B$15)-3000*10*Assumptions!$B$5-(Assumptions!$B$7+Assumptions!$B$8)</f>
        <v/>
      </c>
      <c r="J31" s="21">
        <f>5000*Assumptions!$B$12-5000*(Assumptions!$B$12*Assumptions!$B$14+Assumptions!$B$15)-5000*10*Assumptions!$B$5-(Assumptions!$B$7+Assumptions!$B$8)</f>
        <v/>
      </c>
    </row>
    <row r="32">
      <c r="A32" s="12" t="n">
        <v>15</v>
      </c>
      <c r="B32" s="21">
        <f>25*Assumptions!$B$12-25*(Assumptions!$B$12*Assumptions!$B$14+Assumptions!$B$15)-25*15*Assumptions!$B$5-(Assumptions!$B$7+Assumptions!$B$8)</f>
        <v/>
      </c>
      <c r="C32" s="21">
        <f>50*Assumptions!$B$12-50*(Assumptions!$B$12*Assumptions!$B$14+Assumptions!$B$15)-50*15*Assumptions!$B$5-(Assumptions!$B$7+Assumptions!$B$8)</f>
        <v/>
      </c>
      <c r="D32" s="21">
        <f>100*Assumptions!$B$12-100*(Assumptions!$B$12*Assumptions!$B$14+Assumptions!$B$15)-100*15*Assumptions!$B$5-(Assumptions!$B$7+Assumptions!$B$8)</f>
        <v/>
      </c>
      <c r="E32" s="21">
        <f>200*Assumptions!$B$12-200*(Assumptions!$B$12*Assumptions!$B$14+Assumptions!$B$15)-200*15*Assumptions!$B$5-(Assumptions!$B$7+Assumptions!$B$8)</f>
        <v/>
      </c>
      <c r="F32" s="21">
        <f>400*Assumptions!$B$12-400*(Assumptions!$B$12*Assumptions!$B$14+Assumptions!$B$15)-400*15*Assumptions!$B$5-(Assumptions!$B$7+Assumptions!$B$8)</f>
        <v/>
      </c>
      <c r="G32" s="21">
        <f>800*Assumptions!$B$12-800*(Assumptions!$B$12*Assumptions!$B$14+Assumptions!$B$15)-800*15*Assumptions!$B$5-(Assumptions!$B$7+Assumptions!$B$8)</f>
        <v/>
      </c>
      <c r="H32" s="21">
        <f>1500*Assumptions!$B$12-1500*(Assumptions!$B$12*Assumptions!$B$14+Assumptions!$B$15)-1500*15*Assumptions!$B$5-(Assumptions!$B$7+Assumptions!$B$8)</f>
        <v/>
      </c>
      <c r="I32" s="21">
        <f>3000*Assumptions!$B$12-3000*(Assumptions!$B$12*Assumptions!$B$14+Assumptions!$B$15)-3000*15*Assumptions!$B$5-(Assumptions!$B$7+Assumptions!$B$8)</f>
        <v/>
      </c>
      <c r="J32" s="21">
        <f>5000*Assumptions!$B$12-5000*(Assumptions!$B$12*Assumptions!$B$14+Assumptions!$B$15)-5000*15*Assumptions!$B$5-(Assumptions!$B$7+Assumptions!$B$8)</f>
        <v/>
      </c>
    </row>
    <row r="33">
      <c r="A33" s="12" t="n">
        <v>20</v>
      </c>
      <c r="B33" s="21">
        <f>25*Assumptions!$B$12-25*(Assumptions!$B$12*Assumptions!$B$14+Assumptions!$B$15)-25*20*Assumptions!$B$5-(Assumptions!$B$7+Assumptions!$B$8)</f>
        <v/>
      </c>
      <c r="C33" s="21">
        <f>50*Assumptions!$B$12-50*(Assumptions!$B$12*Assumptions!$B$14+Assumptions!$B$15)-50*20*Assumptions!$B$5-(Assumptions!$B$7+Assumptions!$B$8)</f>
        <v/>
      </c>
      <c r="D33" s="21">
        <f>100*Assumptions!$B$12-100*(Assumptions!$B$12*Assumptions!$B$14+Assumptions!$B$15)-100*20*Assumptions!$B$5-(Assumptions!$B$7+Assumptions!$B$8)</f>
        <v/>
      </c>
      <c r="E33" s="21">
        <f>200*Assumptions!$B$12-200*(Assumptions!$B$12*Assumptions!$B$14+Assumptions!$B$15)-200*20*Assumptions!$B$5-(Assumptions!$B$7+Assumptions!$B$8)</f>
        <v/>
      </c>
      <c r="F33" s="21">
        <f>400*Assumptions!$B$12-400*(Assumptions!$B$12*Assumptions!$B$14+Assumptions!$B$15)-400*20*Assumptions!$B$5-(Assumptions!$B$7+Assumptions!$B$8)</f>
        <v/>
      </c>
      <c r="G33" s="21">
        <f>800*Assumptions!$B$12-800*(Assumptions!$B$12*Assumptions!$B$14+Assumptions!$B$15)-800*20*Assumptions!$B$5-(Assumptions!$B$7+Assumptions!$B$8)</f>
        <v/>
      </c>
      <c r="H33" s="21">
        <f>1500*Assumptions!$B$12-1500*(Assumptions!$B$12*Assumptions!$B$14+Assumptions!$B$15)-1500*20*Assumptions!$B$5-(Assumptions!$B$7+Assumptions!$B$8)</f>
        <v/>
      </c>
      <c r="I33" s="21">
        <f>3000*Assumptions!$B$12-3000*(Assumptions!$B$12*Assumptions!$B$14+Assumptions!$B$15)-3000*20*Assumptions!$B$5-(Assumptions!$B$7+Assumptions!$B$8)</f>
        <v/>
      </c>
      <c r="J33" s="21">
        <f>5000*Assumptions!$B$12-5000*(Assumptions!$B$12*Assumptions!$B$14+Assumptions!$B$15)-5000*20*Assumptions!$B$5-(Assumptions!$B$7+Assumptions!$B$8)</f>
        <v/>
      </c>
    </row>
    <row r="34">
      <c r="A34" s="12" t="n">
        <v>25</v>
      </c>
      <c r="B34" s="21">
        <f>25*Assumptions!$B$12-25*(Assumptions!$B$12*Assumptions!$B$14+Assumptions!$B$15)-25*25*Assumptions!$B$5-(Assumptions!$B$7+Assumptions!$B$8)</f>
        <v/>
      </c>
      <c r="C34" s="21">
        <f>50*Assumptions!$B$12-50*(Assumptions!$B$12*Assumptions!$B$14+Assumptions!$B$15)-50*25*Assumptions!$B$5-(Assumptions!$B$7+Assumptions!$B$8)</f>
        <v/>
      </c>
      <c r="D34" s="21">
        <f>100*Assumptions!$B$12-100*(Assumptions!$B$12*Assumptions!$B$14+Assumptions!$B$15)-100*25*Assumptions!$B$5-(Assumptions!$B$7+Assumptions!$B$8)</f>
        <v/>
      </c>
      <c r="E34" s="21">
        <f>200*Assumptions!$B$12-200*(Assumptions!$B$12*Assumptions!$B$14+Assumptions!$B$15)-200*25*Assumptions!$B$5-(Assumptions!$B$7+Assumptions!$B$8)</f>
        <v/>
      </c>
      <c r="F34" s="21">
        <f>400*Assumptions!$B$12-400*(Assumptions!$B$12*Assumptions!$B$14+Assumptions!$B$15)-400*25*Assumptions!$B$5-(Assumptions!$B$7+Assumptions!$B$8)</f>
        <v/>
      </c>
      <c r="G34" s="21">
        <f>800*Assumptions!$B$12-800*(Assumptions!$B$12*Assumptions!$B$14+Assumptions!$B$15)-800*25*Assumptions!$B$5-(Assumptions!$B$7+Assumptions!$B$8)</f>
        <v/>
      </c>
      <c r="H34" s="21">
        <f>1500*Assumptions!$B$12-1500*(Assumptions!$B$12*Assumptions!$B$14+Assumptions!$B$15)-1500*25*Assumptions!$B$5-(Assumptions!$B$7+Assumptions!$B$8)</f>
        <v/>
      </c>
      <c r="I34" s="21">
        <f>3000*Assumptions!$B$12-3000*(Assumptions!$B$12*Assumptions!$B$14+Assumptions!$B$15)-3000*25*Assumptions!$B$5-(Assumptions!$B$7+Assumptions!$B$8)</f>
        <v/>
      </c>
      <c r="J34" s="21">
        <f>5000*Assumptions!$B$12-5000*(Assumptions!$B$12*Assumptions!$B$14+Assumptions!$B$15)-5000*25*Assumptions!$B$5-(Assumptions!$B$7+Assumptions!$B$8)</f>
        <v/>
      </c>
    </row>
    <row r="35">
      <c r="A35" s="12" t="n">
        <v>30</v>
      </c>
      <c r="B35" s="21">
        <f>25*Assumptions!$B$12-25*(Assumptions!$B$12*Assumptions!$B$14+Assumptions!$B$15)-25*30*Assumptions!$B$5-(Assumptions!$B$7+Assumptions!$B$8)</f>
        <v/>
      </c>
      <c r="C35" s="21">
        <f>50*Assumptions!$B$12-50*(Assumptions!$B$12*Assumptions!$B$14+Assumptions!$B$15)-50*30*Assumptions!$B$5-(Assumptions!$B$7+Assumptions!$B$8)</f>
        <v/>
      </c>
      <c r="D35" s="21">
        <f>100*Assumptions!$B$12-100*(Assumptions!$B$12*Assumptions!$B$14+Assumptions!$B$15)-100*30*Assumptions!$B$5-(Assumptions!$B$7+Assumptions!$B$8)</f>
        <v/>
      </c>
      <c r="E35" s="21">
        <f>200*Assumptions!$B$12-200*(Assumptions!$B$12*Assumptions!$B$14+Assumptions!$B$15)-200*30*Assumptions!$B$5-(Assumptions!$B$7+Assumptions!$B$8)</f>
        <v/>
      </c>
      <c r="F35" s="21">
        <f>400*Assumptions!$B$12-400*(Assumptions!$B$12*Assumptions!$B$14+Assumptions!$B$15)-400*30*Assumptions!$B$5-(Assumptions!$B$7+Assumptions!$B$8)</f>
        <v/>
      </c>
      <c r="G35" s="21">
        <f>800*Assumptions!$B$12-800*(Assumptions!$B$12*Assumptions!$B$14+Assumptions!$B$15)-800*30*Assumptions!$B$5-(Assumptions!$B$7+Assumptions!$B$8)</f>
        <v/>
      </c>
      <c r="H35" s="21">
        <f>1500*Assumptions!$B$12-1500*(Assumptions!$B$12*Assumptions!$B$14+Assumptions!$B$15)-1500*30*Assumptions!$B$5-(Assumptions!$B$7+Assumptions!$B$8)</f>
        <v/>
      </c>
      <c r="I35" s="21">
        <f>3000*Assumptions!$B$12-3000*(Assumptions!$B$12*Assumptions!$B$14+Assumptions!$B$15)-3000*30*Assumptions!$B$5-(Assumptions!$B$7+Assumptions!$B$8)</f>
        <v/>
      </c>
      <c r="J35" s="21">
        <f>5000*Assumptions!$B$12-5000*(Assumptions!$B$12*Assumptions!$B$14+Assumptions!$B$15)-5000*30*Assumptions!$B$5-(Assumptions!$B$7+Assumptions!$B$8)</f>
        <v/>
      </c>
    </row>
    <row r="36">
      <c r="A36" s="12" t="n">
        <v>35</v>
      </c>
      <c r="B36" s="21">
        <f>25*Assumptions!$B$12-25*(Assumptions!$B$12*Assumptions!$B$14+Assumptions!$B$15)-25*35*Assumptions!$B$5-(Assumptions!$B$7+Assumptions!$B$8)</f>
        <v/>
      </c>
      <c r="C36" s="21">
        <f>50*Assumptions!$B$12-50*(Assumptions!$B$12*Assumptions!$B$14+Assumptions!$B$15)-50*35*Assumptions!$B$5-(Assumptions!$B$7+Assumptions!$B$8)</f>
        <v/>
      </c>
      <c r="D36" s="21">
        <f>100*Assumptions!$B$12-100*(Assumptions!$B$12*Assumptions!$B$14+Assumptions!$B$15)-100*35*Assumptions!$B$5-(Assumptions!$B$7+Assumptions!$B$8)</f>
        <v/>
      </c>
      <c r="E36" s="21">
        <f>200*Assumptions!$B$12-200*(Assumptions!$B$12*Assumptions!$B$14+Assumptions!$B$15)-200*35*Assumptions!$B$5-(Assumptions!$B$7+Assumptions!$B$8)</f>
        <v/>
      </c>
      <c r="F36" s="21">
        <f>400*Assumptions!$B$12-400*(Assumptions!$B$12*Assumptions!$B$14+Assumptions!$B$15)-400*35*Assumptions!$B$5-(Assumptions!$B$7+Assumptions!$B$8)</f>
        <v/>
      </c>
      <c r="G36" s="21">
        <f>800*Assumptions!$B$12-800*(Assumptions!$B$12*Assumptions!$B$14+Assumptions!$B$15)-800*35*Assumptions!$B$5-(Assumptions!$B$7+Assumptions!$B$8)</f>
        <v/>
      </c>
      <c r="H36" s="21">
        <f>1500*Assumptions!$B$12-1500*(Assumptions!$B$12*Assumptions!$B$14+Assumptions!$B$15)-1500*35*Assumptions!$B$5-(Assumptions!$B$7+Assumptions!$B$8)</f>
        <v/>
      </c>
      <c r="I36" s="21">
        <f>3000*Assumptions!$B$12-3000*(Assumptions!$B$12*Assumptions!$B$14+Assumptions!$B$15)-3000*35*Assumptions!$B$5-(Assumptions!$B$7+Assumptions!$B$8)</f>
        <v/>
      </c>
      <c r="J36" s="21">
        <f>5000*Assumptions!$B$12-5000*(Assumptions!$B$12*Assumptions!$B$14+Assumptions!$B$15)-5000*35*Assumptions!$B$5-(Assumptions!$B$7+Assumptions!$B$8)</f>
        <v/>
      </c>
    </row>
    <row r="37">
      <c r="A37" s="12" t="n">
        <v>40</v>
      </c>
      <c r="B37" s="21">
        <f>25*Assumptions!$B$12-25*(Assumptions!$B$12*Assumptions!$B$14+Assumptions!$B$15)-25*40*Assumptions!$B$5-(Assumptions!$B$7+Assumptions!$B$8)</f>
        <v/>
      </c>
      <c r="C37" s="21">
        <f>50*Assumptions!$B$12-50*(Assumptions!$B$12*Assumptions!$B$14+Assumptions!$B$15)-50*40*Assumptions!$B$5-(Assumptions!$B$7+Assumptions!$B$8)</f>
        <v/>
      </c>
      <c r="D37" s="21">
        <f>100*Assumptions!$B$12-100*(Assumptions!$B$12*Assumptions!$B$14+Assumptions!$B$15)-100*40*Assumptions!$B$5-(Assumptions!$B$7+Assumptions!$B$8)</f>
        <v/>
      </c>
      <c r="E37" s="21">
        <f>200*Assumptions!$B$12-200*(Assumptions!$B$12*Assumptions!$B$14+Assumptions!$B$15)-200*40*Assumptions!$B$5-(Assumptions!$B$7+Assumptions!$B$8)</f>
        <v/>
      </c>
      <c r="F37" s="21">
        <f>400*Assumptions!$B$12-400*(Assumptions!$B$12*Assumptions!$B$14+Assumptions!$B$15)-400*40*Assumptions!$B$5-(Assumptions!$B$7+Assumptions!$B$8)</f>
        <v/>
      </c>
      <c r="G37" s="21">
        <f>800*Assumptions!$B$12-800*(Assumptions!$B$12*Assumptions!$B$14+Assumptions!$B$15)-800*40*Assumptions!$B$5-(Assumptions!$B$7+Assumptions!$B$8)</f>
        <v/>
      </c>
      <c r="H37" s="21">
        <f>1500*Assumptions!$B$12-1500*(Assumptions!$B$12*Assumptions!$B$14+Assumptions!$B$15)-1500*40*Assumptions!$B$5-(Assumptions!$B$7+Assumptions!$B$8)</f>
        <v/>
      </c>
      <c r="I37" s="21">
        <f>3000*Assumptions!$B$12-3000*(Assumptions!$B$12*Assumptions!$B$14+Assumptions!$B$15)-3000*40*Assumptions!$B$5-(Assumptions!$B$7+Assumptions!$B$8)</f>
        <v/>
      </c>
      <c r="J37" s="21">
        <f>5000*Assumptions!$B$12-5000*(Assumptions!$B$12*Assumptions!$B$14+Assumptions!$B$15)-5000*40*Assumptions!$B$5-(Assumptions!$B$7+Assumptions!$B$8)</f>
        <v/>
      </c>
    </row>
    <row r="38">
      <c r="A38" s="12" t="n">
        <v>45</v>
      </c>
      <c r="B38" s="21">
        <f>25*Assumptions!$B$12-25*(Assumptions!$B$12*Assumptions!$B$14+Assumptions!$B$15)-25*45*Assumptions!$B$5-(Assumptions!$B$7+Assumptions!$B$8)</f>
        <v/>
      </c>
      <c r="C38" s="21">
        <f>50*Assumptions!$B$12-50*(Assumptions!$B$12*Assumptions!$B$14+Assumptions!$B$15)-50*45*Assumptions!$B$5-(Assumptions!$B$7+Assumptions!$B$8)</f>
        <v/>
      </c>
      <c r="D38" s="21">
        <f>100*Assumptions!$B$12-100*(Assumptions!$B$12*Assumptions!$B$14+Assumptions!$B$15)-100*45*Assumptions!$B$5-(Assumptions!$B$7+Assumptions!$B$8)</f>
        <v/>
      </c>
      <c r="E38" s="21">
        <f>200*Assumptions!$B$12-200*(Assumptions!$B$12*Assumptions!$B$14+Assumptions!$B$15)-200*45*Assumptions!$B$5-(Assumptions!$B$7+Assumptions!$B$8)</f>
        <v/>
      </c>
      <c r="F38" s="21">
        <f>400*Assumptions!$B$12-400*(Assumptions!$B$12*Assumptions!$B$14+Assumptions!$B$15)-400*45*Assumptions!$B$5-(Assumptions!$B$7+Assumptions!$B$8)</f>
        <v/>
      </c>
      <c r="G38" s="21">
        <f>800*Assumptions!$B$12-800*(Assumptions!$B$12*Assumptions!$B$14+Assumptions!$B$15)-800*45*Assumptions!$B$5-(Assumptions!$B$7+Assumptions!$B$8)</f>
        <v/>
      </c>
      <c r="H38" s="21">
        <f>1500*Assumptions!$B$12-1500*(Assumptions!$B$12*Assumptions!$B$14+Assumptions!$B$15)-1500*45*Assumptions!$B$5-(Assumptions!$B$7+Assumptions!$B$8)</f>
        <v/>
      </c>
      <c r="I38" s="21">
        <f>3000*Assumptions!$B$12-3000*(Assumptions!$B$12*Assumptions!$B$14+Assumptions!$B$15)-3000*45*Assumptions!$B$5-(Assumptions!$B$7+Assumptions!$B$8)</f>
        <v/>
      </c>
      <c r="J38" s="21">
        <f>5000*Assumptions!$B$12-5000*(Assumptions!$B$12*Assumptions!$B$14+Assumptions!$B$15)-5000*45*Assumptions!$B$5-(Assumptions!$B$7+Assumptions!$B$8)</f>
        <v/>
      </c>
    </row>
    <row r="41">
      <c r="A41" s="2" t="inlineStr">
        <is>
          <t>Reading the tables</t>
        </is>
      </c>
    </row>
    <row r="42">
      <c r="A42" s="3" t="inlineStr">
        <is>
          <t>• Green cells = profitable at that scale. Red = losing money.</t>
        </is>
      </c>
    </row>
    <row r="43">
      <c r="A43" s="3" t="inlineStr">
        <is>
          <t>• Compare (A) vs (B): the Enterprise/BAA fixed cost requires ~150–200 subs to absorb. If you can't get there in year 1, stay educational-only and skip Enterprise.</t>
        </is>
      </c>
    </row>
    <row r="44">
      <c r="A44" s="3" t="inlineStr">
        <is>
          <t>• Compare (B) vs (C): same usage, OpenAI Realtime needs 2–3× more subscribers to break even.</t>
        </is>
      </c>
    </row>
    <row r="45">
      <c r="A45" s="3" t="inlineStr">
        <is>
          <t>• The 'cliff' at high usage on the OpenAI table shows why pricing/cap matters: a free-for-all minutes policy on OpenAI Realtime bankrupts you.</t>
        </is>
      </c>
    </row>
  </sheetData>
  <mergeCells count="5">
    <mergeCell ref="A44:J44"/>
    <mergeCell ref="A45:J45"/>
    <mergeCell ref="A3:M3"/>
    <mergeCell ref="A43:J43"/>
    <mergeCell ref="A42:J42"/>
  </mergeCells>
  <conditionalFormatting sqref="B7:J14">
    <cfRule type="cellIs" priority="1" operator="lessThan" dxfId="0">
      <formula>0</formula>
    </cfRule>
    <cfRule type="cellIs" priority="2" operator="greaterThanOrEqual" dxfId="1">
      <formula>0</formula>
    </cfRule>
  </conditionalFormatting>
  <conditionalFormatting sqref="B19:J26">
    <cfRule type="cellIs" priority="3" operator="lessThan" dxfId="0">
      <formula>0</formula>
    </cfRule>
    <cfRule type="cellIs" priority="4" operator="greaterThanOrEqual" dxfId="1">
      <formula>0</formula>
    </cfRule>
  </conditionalFormatting>
  <conditionalFormatting sqref="B31:J38">
    <cfRule type="cellIs" priority="5" operator="lessThan" dxfId="0">
      <formula>0</formula>
    </cfRule>
    <cfRule type="cellIs" priority="6" operator="greaterThanOrEqual" dxfId="1">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4" t="inlineStr">
        <is>
          <t>12-Month Projection — ElevenLabs (with Enterprise/BAA) vs OpenAI Realtime</t>
        </is>
      </c>
    </row>
    <row r="3">
      <c r="A3" s="2" t="inlineStr">
        <is>
          <t>Subscriber growth curve (yellow = editable)</t>
        </is>
      </c>
    </row>
    <row r="4">
      <c r="A4" s="19" t="inlineStr">
        <is>
          <t>Month</t>
        </is>
      </c>
      <c r="B4" s="12" t="inlineStr">
        <is>
          <t>M1</t>
        </is>
      </c>
      <c r="C4" s="12" t="inlineStr">
        <is>
          <t>M2</t>
        </is>
      </c>
      <c r="D4" s="12" t="inlineStr">
        <is>
          <t>M3</t>
        </is>
      </c>
      <c r="E4" s="12" t="inlineStr">
        <is>
          <t>M4</t>
        </is>
      </c>
      <c r="F4" s="12" t="inlineStr">
        <is>
          <t>M5</t>
        </is>
      </c>
      <c r="G4" s="12" t="inlineStr">
        <is>
          <t>M6</t>
        </is>
      </c>
      <c r="H4" s="12" t="inlineStr">
        <is>
          <t>M7</t>
        </is>
      </c>
      <c r="I4" s="12" t="inlineStr">
        <is>
          <t>M8</t>
        </is>
      </c>
      <c r="J4" s="12" t="inlineStr">
        <is>
          <t>M9</t>
        </is>
      </c>
      <c r="K4" s="12" t="inlineStr">
        <is>
          <t>M10</t>
        </is>
      </c>
      <c r="L4" s="12" t="inlineStr">
        <is>
          <t>M11</t>
        </is>
      </c>
      <c r="M4" s="12" t="inlineStr">
        <is>
          <t>M12</t>
        </is>
      </c>
    </row>
    <row r="5">
      <c r="A5" s="5" t="inlineStr">
        <is>
          <t>Active subscribers</t>
        </is>
      </c>
      <c r="B5" s="9" t="n">
        <v>10</v>
      </c>
      <c r="C5" s="9" t="n">
        <v>25</v>
      </c>
      <c r="D5" s="9" t="n">
        <v>50</v>
      </c>
      <c r="E5" s="9" t="n">
        <v>90</v>
      </c>
      <c r="F5" s="9" t="n">
        <v>150</v>
      </c>
      <c r="G5" s="9" t="n">
        <v>230</v>
      </c>
      <c r="H5" s="9" t="n">
        <v>330</v>
      </c>
      <c r="I5" s="9" t="n">
        <v>450</v>
      </c>
      <c r="J5" s="9" t="n">
        <v>580</v>
      </c>
      <c r="K5" s="9" t="n">
        <v>720</v>
      </c>
      <c r="L5" s="9" t="n">
        <v>850</v>
      </c>
      <c r="M5" s="9" t="n">
        <v>950</v>
      </c>
    </row>
    <row r="7">
      <c r="A7" s="2" t="inlineStr">
        <is>
          <t>Scenario A: ElevenLabs Agents WITH Enterprise + BAA</t>
        </is>
      </c>
    </row>
    <row r="8">
      <c r="A8" s="5" t="inlineStr">
        <is>
          <t>Revenue</t>
        </is>
      </c>
      <c r="B8" s="22">
        <f>B5*Assumptions!$B$12</f>
        <v/>
      </c>
      <c r="C8" s="22">
        <f>C5*Assumptions!$B$12</f>
        <v/>
      </c>
      <c r="D8" s="22">
        <f>D5*Assumptions!$B$12</f>
        <v/>
      </c>
      <c r="E8" s="22">
        <f>E5*Assumptions!$B$12</f>
        <v/>
      </c>
      <c r="F8" s="22">
        <f>F5*Assumptions!$B$12</f>
        <v/>
      </c>
      <c r="G8" s="22">
        <f>G5*Assumptions!$B$12</f>
        <v/>
      </c>
      <c r="H8" s="22">
        <f>H5*Assumptions!$B$12</f>
        <v/>
      </c>
      <c r="I8" s="22">
        <f>I5*Assumptions!$B$12</f>
        <v/>
      </c>
      <c r="J8" s="22">
        <f>J5*Assumptions!$B$12</f>
        <v/>
      </c>
      <c r="K8" s="22">
        <f>K5*Assumptions!$B$12</f>
        <v/>
      </c>
      <c r="L8" s="22">
        <f>L5*Assumptions!$B$12</f>
        <v/>
      </c>
      <c r="M8" s="22">
        <f>M5*Assumptions!$B$12</f>
        <v/>
      </c>
    </row>
    <row r="9">
      <c r="A9" s="5" t="inlineStr">
        <is>
          <t>Variable cost (conversation)</t>
        </is>
      </c>
      <c r="B9" s="23">
        <f>-B5*Assumptions!$B$19*Assumptions!$B$4</f>
        <v/>
      </c>
      <c r="C9" s="23">
        <f>-C5*Assumptions!$B$19*Assumptions!$B$4</f>
        <v/>
      </c>
      <c r="D9" s="23">
        <f>-D5*Assumptions!$B$19*Assumptions!$B$4</f>
        <v/>
      </c>
      <c r="E9" s="23">
        <f>-E5*Assumptions!$B$19*Assumptions!$B$4</f>
        <v/>
      </c>
      <c r="F9" s="23">
        <f>-F5*Assumptions!$B$19*Assumptions!$B$4</f>
        <v/>
      </c>
      <c r="G9" s="23">
        <f>-G5*Assumptions!$B$19*Assumptions!$B$4</f>
        <v/>
      </c>
      <c r="H9" s="23">
        <f>-H5*Assumptions!$B$19*Assumptions!$B$4</f>
        <v/>
      </c>
      <c r="I9" s="23">
        <f>-I5*Assumptions!$B$19*Assumptions!$B$4</f>
        <v/>
      </c>
      <c r="J9" s="23">
        <f>-J5*Assumptions!$B$19*Assumptions!$B$4</f>
        <v/>
      </c>
      <c r="K9" s="23">
        <f>-K5*Assumptions!$B$19*Assumptions!$B$4</f>
        <v/>
      </c>
      <c r="L9" s="23">
        <f>-L5*Assumptions!$B$19*Assumptions!$B$4</f>
        <v/>
      </c>
      <c r="M9" s="23">
        <f>-M5*Assumptions!$B$19*Assumptions!$B$4</f>
        <v/>
      </c>
    </row>
    <row r="10">
      <c r="A10" s="5" t="inlineStr">
        <is>
          <t>Stripe fees</t>
        </is>
      </c>
      <c r="B10" s="23">
        <f>-B5*(Assumptions!$B$12*Assumptions!$B$14+Assumptions!$B$15)</f>
        <v/>
      </c>
      <c r="C10" s="23">
        <f>-C5*(Assumptions!$B$12*Assumptions!$B$14+Assumptions!$B$15)</f>
        <v/>
      </c>
      <c r="D10" s="23">
        <f>-D5*(Assumptions!$B$12*Assumptions!$B$14+Assumptions!$B$15)</f>
        <v/>
      </c>
      <c r="E10" s="23">
        <f>-E5*(Assumptions!$B$12*Assumptions!$B$14+Assumptions!$B$15)</f>
        <v/>
      </c>
      <c r="F10" s="23">
        <f>-F5*(Assumptions!$B$12*Assumptions!$B$14+Assumptions!$B$15)</f>
        <v/>
      </c>
      <c r="G10" s="23">
        <f>-G5*(Assumptions!$B$12*Assumptions!$B$14+Assumptions!$B$15)</f>
        <v/>
      </c>
      <c r="H10" s="23">
        <f>-H5*(Assumptions!$B$12*Assumptions!$B$14+Assumptions!$B$15)</f>
        <v/>
      </c>
      <c r="I10" s="23">
        <f>-I5*(Assumptions!$B$12*Assumptions!$B$14+Assumptions!$B$15)</f>
        <v/>
      </c>
      <c r="J10" s="23">
        <f>-J5*(Assumptions!$B$12*Assumptions!$B$14+Assumptions!$B$15)</f>
        <v/>
      </c>
      <c r="K10" s="23">
        <f>-K5*(Assumptions!$B$12*Assumptions!$B$14+Assumptions!$B$15)</f>
        <v/>
      </c>
      <c r="L10" s="23">
        <f>-L5*(Assumptions!$B$12*Assumptions!$B$14+Assumptions!$B$15)</f>
        <v/>
      </c>
      <c r="M10" s="23">
        <f>-M5*(Assumptions!$B$12*Assumptions!$B$14+Assumptions!$B$15)</f>
        <v/>
      </c>
    </row>
    <row r="11">
      <c r="A11" s="5" t="inlineStr">
        <is>
          <t>Fixed (Enterprise + hosting + support)</t>
        </is>
      </c>
      <c r="B11" s="23">
        <f>-(Assumptions!$B$6+Assumptions!$B$7+Assumptions!$B$8)</f>
        <v/>
      </c>
      <c r="C11" s="23">
        <f>-(Assumptions!$B$6+Assumptions!$B$7+Assumptions!$B$8)</f>
        <v/>
      </c>
      <c r="D11" s="23">
        <f>-(Assumptions!$B$6+Assumptions!$B$7+Assumptions!$B$8)</f>
        <v/>
      </c>
      <c r="E11" s="23">
        <f>-(Assumptions!$B$6+Assumptions!$B$7+Assumptions!$B$8)</f>
        <v/>
      </c>
      <c r="F11" s="23">
        <f>-(Assumptions!$B$6+Assumptions!$B$7+Assumptions!$B$8)</f>
        <v/>
      </c>
      <c r="G11" s="23">
        <f>-(Assumptions!$B$6+Assumptions!$B$7+Assumptions!$B$8)</f>
        <v/>
      </c>
      <c r="H11" s="23">
        <f>-(Assumptions!$B$6+Assumptions!$B$7+Assumptions!$B$8)</f>
        <v/>
      </c>
      <c r="I11" s="23">
        <f>-(Assumptions!$B$6+Assumptions!$B$7+Assumptions!$B$8)</f>
        <v/>
      </c>
      <c r="J11" s="23">
        <f>-(Assumptions!$B$6+Assumptions!$B$7+Assumptions!$B$8)</f>
        <v/>
      </c>
      <c r="K11" s="23">
        <f>-(Assumptions!$B$6+Assumptions!$B$7+Assumptions!$B$8)</f>
        <v/>
      </c>
      <c r="L11" s="23">
        <f>-(Assumptions!$B$6+Assumptions!$B$7+Assumptions!$B$8)</f>
        <v/>
      </c>
      <c r="M11" s="23">
        <f>-(Assumptions!$B$6+Assumptions!$B$7+Assumptions!$B$8)</f>
        <v/>
      </c>
    </row>
    <row r="12">
      <c r="A12" s="19" t="inlineStr">
        <is>
          <t>Monthly net profit</t>
        </is>
      </c>
      <c r="B12" s="24">
        <f>B8+B9+B10+B11</f>
        <v/>
      </c>
      <c r="C12" s="24">
        <f>C8+C9+C10+C11</f>
        <v/>
      </c>
      <c r="D12" s="24">
        <f>D8+D9+D10+D11</f>
        <v/>
      </c>
      <c r="E12" s="24">
        <f>E8+E9+E10+E11</f>
        <v/>
      </c>
      <c r="F12" s="24">
        <f>F8+F9+F10+F11</f>
        <v/>
      </c>
      <c r="G12" s="24">
        <f>G8+G9+G10+G11</f>
        <v/>
      </c>
      <c r="H12" s="24">
        <f>H8+H9+H10+H11</f>
        <v/>
      </c>
      <c r="I12" s="24">
        <f>I8+I9+I10+I11</f>
        <v/>
      </c>
      <c r="J12" s="24">
        <f>J8+J9+J10+J11</f>
        <v/>
      </c>
      <c r="K12" s="24">
        <f>K8+K9+K10+K11</f>
        <v/>
      </c>
      <c r="L12" s="24">
        <f>L8+L9+L10+L11</f>
        <v/>
      </c>
      <c r="M12" s="24">
        <f>M8+M9+M10+M11</f>
        <v/>
      </c>
    </row>
    <row r="13">
      <c r="A13" s="25" t="inlineStr">
        <is>
          <t>Cumulative profit</t>
        </is>
      </c>
      <c r="B13" s="26">
        <f>B12</f>
        <v/>
      </c>
      <c r="C13" s="26">
        <f>B13+C12</f>
        <v/>
      </c>
      <c r="D13" s="26">
        <f>C13+D12</f>
        <v/>
      </c>
      <c r="E13" s="26">
        <f>D13+E12</f>
        <v/>
      </c>
      <c r="F13" s="26">
        <f>E13+F12</f>
        <v/>
      </c>
      <c r="G13" s="26">
        <f>F13+G12</f>
        <v/>
      </c>
      <c r="H13" s="26">
        <f>G13+H12</f>
        <v/>
      </c>
      <c r="I13" s="26">
        <f>H13+I12</f>
        <v/>
      </c>
      <c r="J13" s="26">
        <f>I13+J12</f>
        <v/>
      </c>
      <c r="K13" s="26">
        <f>J13+K12</f>
        <v/>
      </c>
      <c r="L13" s="26">
        <f>K13+L12</f>
        <v/>
      </c>
      <c r="M13" s="26">
        <f>L13+M12</f>
        <v/>
      </c>
    </row>
    <row r="15">
      <c r="A15" s="2" t="inlineStr">
        <is>
          <t>Scenario B: ElevenLabs Agents WITHOUT Enterprise (educational-only positioning)</t>
        </is>
      </c>
    </row>
    <row r="16">
      <c r="A16" s="5" t="inlineStr">
        <is>
          <t>Revenue</t>
        </is>
      </c>
      <c r="B16" s="22">
        <f>B5*Assumptions!$B$12</f>
        <v/>
      </c>
      <c r="C16" s="22">
        <f>C5*Assumptions!$B$12</f>
        <v/>
      </c>
      <c r="D16" s="22">
        <f>D5*Assumptions!$B$12</f>
        <v/>
      </c>
      <c r="E16" s="22">
        <f>E5*Assumptions!$B$12</f>
        <v/>
      </c>
      <c r="F16" s="22">
        <f>F5*Assumptions!$B$12</f>
        <v/>
      </c>
      <c r="G16" s="22">
        <f>G5*Assumptions!$B$12</f>
        <v/>
      </c>
      <c r="H16" s="22">
        <f>H5*Assumptions!$B$12</f>
        <v/>
      </c>
      <c r="I16" s="22">
        <f>I5*Assumptions!$B$12</f>
        <v/>
      </c>
      <c r="J16" s="22">
        <f>J5*Assumptions!$B$12</f>
        <v/>
      </c>
      <c r="K16" s="22">
        <f>K5*Assumptions!$B$12</f>
        <v/>
      </c>
      <c r="L16" s="22">
        <f>L5*Assumptions!$B$12</f>
        <v/>
      </c>
      <c r="M16" s="22">
        <f>M5*Assumptions!$B$12</f>
        <v/>
      </c>
    </row>
    <row r="17">
      <c r="A17" s="5" t="inlineStr">
        <is>
          <t>Variable cost (conversation)</t>
        </is>
      </c>
      <c r="B17" s="23">
        <f>-B5*Assumptions!$B$19*Assumptions!$B$4</f>
        <v/>
      </c>
      <c r="C17" s="23">
        <f>-C5*Assumptions!$B$19*Assumptions!$B$4</f>
        <v/>
      </c>
      <c r="D17" s="23">
        <f>-D5*Assumptions!$B$19*Assumptions!$B$4</f>
        <v/>
      </c>
      <c r="E17" s="23">
        <f>-E5*Assumptions!$B$19*Assumptions!$B$4</f>
        <v/>
      </c>
      <c r="F17" s="23">
        <f>-F5*Assumptions!$B$19*Assumptions!$B$4</f>
        <v/>
      </c>
      <c r="G17" s="23">
        <f>-G5*Assumptions!$B$19*Assumptions!$B$4</f>
        <v/>
      </c>
      <c r="H17" s="23">
        <f>-H5*Assumptions!$B$19*Assumptions!$B$4</f>
        <v/>
      </c>
      <c r="I17" s="23">
        <f>-I5*Assumptions!$B$19*Assumptions!$B$4</f>
        <v/>
      </c>
      <c r="J17" s="23">
        <f>-J5*Assumptions!$B$19*Assumptions!$B$4</f>
        <v/>
      </c>
      <c r="K17" s="23">
        <f>-K5*Assumptions!$B$19*Assumptions!$B$4</f>
        <v/>
      </c>
      <c r="L17" s="23">
        <f>-L5*Assumptions!$B$19*Assumptions!$B$4</f>
        <v/>
      </c>
      <c r="M17" s="23">
        <f>-M5*Assumptions!$B$19*Assumptions!$B$4</f>
        <v/>
      </c>
    </row>
    <row r="18">
      <c r="A18" s="5" t="inlineStr">
        <is>
          <t>Stripe fees</t>
        </is>
      </c>
      <c r="B18" s="23">
        <f>-B5*(Assumptions!$B$12*Assumptions!$B$14+Assumptions!$B$15)</f>
        <v/>
      </c>
      <c r="C18" s="23">
        <f>-C5*(Assumptions!$B$12*Assumptions!$B$14+Assumptions!$B$15)</f>
        <v/>
      </c>
      <c r="D18" s="23">
        <f>-D5*(Assumptions!$B$12*Assumptions!$B$14+Assumptions!$B$15)</f>
        <v/>
      </c>
      <c r="E18" s="23">
        <f>-E5*(Assumptions!$B$12*Assumptions!$B$14+Assumptions!$B$15)</f>
        <v/>
      </c>
      <c r="F18" s="23">
        <f>-F5*(Assumptions!$B$12*Assumptions!$B$14+Assumptions!$B$15)</f>
        <v/>
      </c>
      <c r="G18" s="23">
        <f>-G5*(Assumptions!$B$12*Assumptions!$B$14+Assumptions!$B$15)</f>
        <v/>
      </c>
      <c r="H18" s="23">
        <f>-H5*(Assumptions!$B$12*Assumptions!$B$14+Assumptions!$B$15)</f>
        <v/>
      </c>
      <c r="I18" s="23">
        <f>-I5*(Assumptions!$B$12*Assumptions!$B$14+Assumptions!$B$15)</f>
        <v/>
      </c>
      <c r="J18" s="23">
        <f>-J5*(Assumptions!$B$12*Assumptions!$B$14+Assumptions!$B$15)</f>
        <v/>
      </c>
      <c r="K18" s="23">
        <f>-K5*(Assumptions!$B$12*Assumptions!$B$14+Assumptions!$B$15)</f>
        <v/>
      </c>
      <c r="L18" s="23">
        <f>-L5*(Assumptions!$B$12*Assumptions!$B$14+Assumptions!$B$15)</f>
        <v/>
      </c>
      <c r="M18" s="23">
        <f>-M5*(Assumptions!$B$12*Assumptions!$B$14+Assumptions!$B$15)</f>
        <v/>
      </c>
    </row>
    <row r="19">
      <c r="A19" s="5" t="inlineStr">
        <is>
          <t>Fixed (hosting + support)</t>
        </is>
      </c>
      <c r="B19" s="23">
        <f>-(Assumptions!$B$7+Assumptions!$B$8)</f>
        <v/>
      </c>
      <c r="C19" s="23">
        <f>-(Assumptions!$B$7+Assumptions!$B$8)</f>
        <v/>
      </c>
      <c r="D19" s="23">
        <f>-(Assumptions!$B$7+Assumptions!$B$8)</f>
        <v/>
      </c>
      <c r="E19" s="23">
        <f>-(Assumptions!$B$7+Assumptions!$B$8)</f>
        <v/>
      </c>
      <c r="F19" s="23">
        <f>-(Assumptions!$B$7+Assumptions!$B$8)</f>
        <v/>
      </c>
      <c r="G19" s="23">
        <f>-(Assumptions!$B$7+Assumptions!$B$8)</f>
        <v/>
      </c>
      <c r="H19" s="23">
        <f>-(Assumptions!$B$7+Assumptions!$B$8)</f>
        <v/>
      </c>
      <c r="I19" s="23">
        <f>-(Assumptions!$B$7+Assumptions!$B$8)</f>
        <v/>
      </c>
      <c r="J19" s="23">
        <f>-(Assumptions!$B$7+Assumptions!$B$8)</f>
        <v/>
      </c>
      <c r="K19" s="23">
        <f>-(Assumptions!$B$7+Assumptions!$B$8)</f>
        <v/>
      </c>
      <c r="L19" s="23">
        <f>-(Assumptions!$B$7+Assumptions!$B$8)</f>
        <v/>
      </c>
      <c r="M19" s="23">
        <f>-(Assumptions!$B$7+Assumptions!$B$8)</f>
        <v/>
      </c>
    </row>
    <row r="20">
      <c r="A20" s="19" t="inlineStr">
        <is>
          <t>Monthly net profit</t>
        </is>
      </c>
      <c r="B20" s="24">
        <f>B16+B17+B18+B19</f>
        <v/>
      </c>
      <c r="C20" s="24">
        <f>C16+C17+C18+C19</f>
        <v/>
      </c>
      <c r="D20" s="24">
        <f>D16+D17+D18+D19</f>
        <v/>
      </c>
      <c r="E20" s="24">
        <f>E16+E17+E18+E19</f>
        <v/>
      </c>
      <c r="F20" s="24">
        <f>F16+F17+F18+F19</f>
        <v/>
      </c>
      <c r="G20" s="24">
        <f>G16+G17+G18+G19</f>
        <v/>
      </c>
      <c r="H20" s="24">
        <f>H16+H17+H18+H19</f>
        <v/>
      </c>
      <c r="I20" s="24">
        <f>I16+I17+I18+I19</f>
        <v/>
      </c>
      <c r="J20" s="24">
        <f>J16+J17+J18+J19</f>
        <v/>
      </c>
      <c r="K20" s="24">
        <f>K16+K17+K18+K19</f>
        <v/>
      </c>
      <c r="L20" s="24">
        <f>L16+L17+L18+L19</f>
        <v/>
      </c>
      <c r="M20" s="24">
        <f>M16+M17+M18+M19</f>
        <v/>
      </c>
    </row>
    <row r="21">
      <c r="A21" s="25" t="inlineStr">
        <is>
          <t>Cumulative profit</t>
        </is>
      </c>
      <c r="B21" s="26">
        <f>B20</f>
        <v/>
      </c>
      <c r="C21" s="26">
        <f>B21+C20</f>
        <v/>
      </c>
      <c r="D21" s="26">
        <f>C21+D20</f>
        <v/>
      </c>
      <c r="E21" s="26">
        <f>D21+E20</f>
        <v/>
      </c>
      <c r="F21" s="26">
        <f>E21+F20</f>
        <v/>
      </c>
      <c r="G21" s="26">
        <f>F21+G20</f>
        <v/>
      </c>
      <c r="H21" s="26">
        <f>G21+H20</f>
        <v/>
      </c>
      <c r="I21" s="26">
        <f>H21+I20</f>
        <v/>
      </c>
      <c r="J21" s="26">
        <f>I21+J20</f>
        <v/>
      </c>
      <c r="K21" s="26">
        <f>J21+K20</f>
        <v/>
      </c>
      <c r="L21" s="26">
        <f>K21+L20</f>
        <v/>
      </c>
      <c r="M21" s="26">
        <f>L21+M20</f>
        <v/>
      </c>
    </row>
    <row r="23">
      <c r="A23" s="2" t="inlineStr">
        <is>
          <t>Scenario C: OpenAI Realtime (no Enterprise modeled)</t>
        </is>
      </c>
    </row>
    <row r="24">
      <c r="A24" s="5" t="inlineStr">
        <is>
          <t>Revenue</t>
        </is>
      </c>
      <c r="B24" s="22">
        <f>B5*Assumptions!$B$12</f>
        <v/>
      </c>
      <c r="C24" s="22">
        <f>C5*Assumptions!$B$12</f>
        <v/>
      </c>
      <c r="D24" s="22">
        <f>D5*Assumptions!$B$12</f>
        <v/>
      </c>
      <c r="E24" s="22">
        <f>E5*Assumptions!$B$12</f>
        <v/>
      </c>
      <c r="F24" s="22">
        <f>F5*Assumptions!$B$12</f>
        <v/>
      </c>
      <c r="G24" s="22">
        <f>G5*Assumptions!$B$12</f>
        <v/>
      </c>
      <c r="H24" s="22">
        <f>H5*Assumptions!$B$12</f>
        <v/>
      </c>
      <c r="I24" s="22">
        <f>I5*Assumptions!$B$12</f>
        <v/>
      </c>
      <c r="J24" s="22">
        <f>J5*Assumptions!$B$12</f>
        <v/>
      </c>
      <c r="K24" s="22">
        <f>K5*Assumptions!$B$12</f>
        <v/>
      </c>
      <c r="L24" s="22">
        <f>L5*Assumptions!$B$12</f>
        <v/>
      </c>
      <c r="M24" s="22">
        <f>M5*Assumptions!$B$12</f>
        <v/>
      </c>
    </row>
    <row r="25">
      <c r="A25" s="5" t="inlineStr">
        <is>
          <t>Variable cost (conversation)</t>
        </is>
      </c>
      <c r="B25" s="23">
        <f>-B5*Assumptions!$B$19*Assumptions!$B$5</f>
        <v/>
      </c>
      <c r="C25" s="23">
        <f>-C5*Assumptions!$B$19*Assumptions!$B$5</f>
        <v/>
      </c>
      <c r="D25" s="23">
        <f>-D5*Assumptions!$B$19*Assumptions!$B$5</f>
        <v/>
      </c>
      <c r="E25" s="23">
        <f>-E5*Assumptions!$B$19*Assumptions!$B$5</f>
        <v/>
      </c>
      <c r="F25" s="23">
        <f>-F5*Assumptions!$B$19*Assumptions!$B$5</f>
        <v/>
      </c>
      <c r="G25" s="23">
        <f>-G5*Assumptions!$B$19*Assumptions!$B$5</f>
        <v/>
      </c>
      <c r="H25" s="23">
        <f>-H5*Assumptions!$B$19*Assumptions!$B$5</f>
        <v/>
      </c>
      <c r="I25" s="23">
        <f>-I5*Assumptions!$B$19*Assumptions!$B$5</f>
        <v/>
      </c>
      <c r="J25" s="23">
        <f>-J5*Assumptions!$B$19*Assumptions!$B$5</f>
        <v/>
      </c>
      <c r="K25" s="23">
        <f>-K5*Assumptions!$B$19*Assumptions!$B$5</f>
        <v/>
      </c>
      <c r="L25" s="23">
        <f>-L5*Assumptions!$B$19*Assumptions!$B$5</f>
        <v/>
      </c>
      <c r="M25" s="23">
        <f>-M5*Assumptions!$B$19*Assumptions!$B$5</f>
        <v/>
      </c>
    </row>
    <row r="26">
      <c r="A26" s="5" t="inlineStr">
        <is>
          <t>Stripe fees</t>
        </is>
      </c>
      <c r="B26" s="23">
        <f>-B5*(Assumptions!$B$12*Assumptions!$B$14+Assumptions!$B$15)</f>
        <v/>
      </c>
      <c r="C26" s="23">
        <f>-C5*(Assumptions!$B$12*Assumptions!$B$14+Assumptions!$B$15)</f>
        <v/>
      </c>
      <c r="D26" s="23">
        <f>-D5*(Assumptions!$B$12*Assumptions!$B$14+Assumptions!$B$15)</f>
        <v/>
      </c>
      <c r="E26" s="23">
        <f>-E5*(Assumptions!$B$12*Assumptions!$B$14+Assumptions!$B$15)</f>
        <v/>
      </c>
      <c r="F26" s="23">
        <f>-F5*(Assumptions!$B$12*Assumptions!$B$14+Assumptions!$B$15)</f>
        <v/>
      </c>
      <c r="G26" s="23">
        <f>-G5*(Assumptions!$B$12*Assumptions!$B$14+Assumptions!$B$15)</f>
        <v/>
      </c>
      <c r="H26" s="23">
        <f>-H5*(Assumptions!$B$12*Assumptions!$B$14+Assumptions!$B$15)</f>
        <v/>
      </c>
      <c r="I26" s="23">
        <f>-I5*(Assumptions!$B$12*Assumptions!$B$14+Assumptions!$B$15)</f>
        <v/>
      </c>
      <c r="J26" s="23">
        <f>-J5*(Assumptions!$B$12*Assumptions!$B$14+Assumptions!$B$15)</f>
        <v/>
      </c>
      <c r="K26" s="23">
        <f>-K5*(Assumptions!$B$12*Assumptions!$B$14+Assumptions!$B$15)</f>
        <v/>
      </c>
      <c r="L26" s="23">
        <f>-L5*(Assumptions!$B$12*Assumptions!$B$14+Assumptions!$B$15)</f>
        <v/>
      </c>
      <c r="M26" s="23">
        <f>-M5*(Assumptions!$B$12*Assumptions!$B$14+Assumptions!$B$15)</f>
        <v/>
      </c>
    </row>
    <row r="27">
      <c r="A27" s="5" t="inlineStr">
        <is>
          <t>Fixed (hosting + support)</t>
        </is>
      </c>
      <c r="B27" s="23">
        <f>-(Assumptions!$B$7+Assumptions!$B$8)</f>
        <v/>
      </c>
      <c r="C27" s="23">
        <f>-(Assumptions!$B$7+Assumptions!$B$8)</f>
        <v/>
      </c>
      <c r="D27" s="23">
        <f>-(Assumptions!$B$7+Assumptions!$B$8)</f>
        <v/>
      </c>
      <c r="E27" s="23">
        <f>-(Assumptions!$B$7+Assumptions!$B$8)</f>
        <v/>
      </c>
      <c r="F27" s="23">
        <f>-(Assumptions!$B$7+Assumptions!$B$8)</f>
        <v/>
      </c>
      <c r="G27" s="23">
        <f>-(Assumptions!$B$7+Assumptions!$B$8)</f>
        <v/>
      </c>
      <c r="H27" s="23">
        <f>-(Assumptions!$B$7+Assumptions!$B$8)</f>
        <v/>
      </c>
      <c r="I27" s="23">
        <f>-(Assumptions!$B$7+Assumptions!$B$8)</f>
        <v/>
      </c>
      <c r="J27" s="23">
        <f>-(Assumptions!$B$7+Assumptions!$B$8)</f>
        <v/>
      </c>
      <c r="K27" s="23">
        <f>-(Assumptions!$B$7+Assumptions!$B$8)</f>
        <v/>
      </c>
      <c r="L27" s="23">
        <f>-(Assumptions!$B$7+Assumptions!$B$8)</f>
        <v/>
      </c>
      <c r="M27" s="23">
        <f>-(Assumptions!$B$7+Assumptions!$B$8)</f>
        <v/>
      </c>
    </row>
    <row r="28">
      <c r="A28" s="19" t="inlineStr">
        <is>
          <t>Monthly net profit</t>
        </is>
      </c>
      <c r="B28" s="24">
        <f>B24+B25+B26+B27</f>
        <v/>
      </c>
      <c r="C28" s="24">
        <f>C24+C25+C26+C27</f>
        <v/>
      </c>
      <c r="D28" s="24">
        <f>D24+D25+D26+D27</f>
        <v/>
      </c>
      <c r="E28" s="24">
        <f>E24+E25+E26+E27</f>
        <v/>
      </c>
      <c r="F28" s="24">
        <f>F24+F25+F26+F27</f>
        <v/>
      </c>
      <c r="G28" s="24">
        <f>G24+G25+G26+G27</f>
        <v/>
      </c>
      <c r="H28" s="24">
        <f>H24+H25+H26+H27</f>
        <v/>
      </c>
      <c r="I28" s="24">
        <f>I24+I25+I26+I27</f>
        <v/>
      </c>
      <c r="J28" s="24">
        <f>J24+J25+J26+J27</f>
        <v/>
      </c>
      <c r="K28" s="24">
        <f>K24+K25+K26+K27</f>
        <v/>
      </c>
      <c r="L28" s="24">
        <f>L24+L25+L26+L27</f>
        <v/>
      </c>
      <c r="M28" s="24">
        <f>M24+M25+M26+M27</f>
        <v/>
      </c>
    </row>
    <row r="29">
      <c r="A29" s="25" t="inlineStr">
        <is>
          <t>Cumulative profit</t>
        </is>
      </c>
      <c r="B29" s="26">
        <f>B28</f>
        <v/>
      </c>
      <c r="C29" s="26">
        <f>B29+C28</f>
        <v/>
      </c>
      <c r="D29" s="26">
        <f>C29+D28</f>
        <v/>
      </c>
      <c r="E29" s="26">
        <f>D29+E28</f>
        <v/>
      </c>
      <c r="F29" s="26">
        <f>E29+F28</f>
        <v/>
      </c>
      <c r="G29" s="26">
        <f>F29+G28</f>
        <v/>
      </c>
      <c r="H29" s="26">
        <f>G29+H28</f>
        <v/>
      </c>
      <c r="I29" s="26">
        <f>H29+I28</f>
        <v/>
      </c>
      <c r="J29" s="26">
        <f>I29+J28</f>
        <v/>
      </c>
      <c r="K29" s="26">
        <f>J29+K28</f>
        <v/>
      </c>
      <c r="L29" s="26">
        <f>K29+L28</f>
        <v/>
      </c>
      <c r="M29" s="26">
        <f>L29+M28</f>
        <v/>
      </c>
    </row>
    <row r="31" ht="32" customHeight="1">
      <c r="A31" s="7" t="inlineStr">
        <is>
          <t>Interpretation: the cumulative-profit row tells you when each scenario becomes self-sustaining. Edit the 'Active subscribers' row to model your own growth assumption. Edit Assumptions sheet for pricing/cost knobs.</t>
        </is>
      </c>
    </row>
  </sheetData>
  <mergeCells count="1">
    <mergeCell ref="A31:N31"/>
  </mergeCells>
  <conditionalFormatting sqref="B12:M12">
    <cfRule type="cellIs" priority="1" operator="lessThan" dxfId="0">
      <formula>0</formula>
    </cfRule>
    <cfRule type="cellIs" priority="2" operator="greaterThanOrEqual" dxfId="1">
      <formula>0</formula>
    </cfRule>
  </conditionalFormatting>
  <conditionalFormatting sqref="B13:M13">
    <cfRule type="cellIs" priority="1" operator="lessThan" dxfId="0">
      <formula>0</formula>
    </cfRule>
    <cfRule type="cellIs" priority="2" operator="greaterThanOrEqual" dxfId="1">
      <formula>0</formula>
    </cfRule>
  </conditionalFormatting>
  <conditionalFormatting sqref="B20:M20">
    <cfRule type="cellIs" priority="5" operator="lessThan" dxfId="0">
      <formula>0</formula>
    </cfRule>
    <cfRule type="cellIs" priority="6" operator="greaterThanOrEqual" dxfId="1">
      <formula>0</formula>
    </cfRule>
  </conditionalFormatting>
  <conditionalFormatting sqref="B21:M21">
    <cfRule type="cellIs" priority="5" operator="lessThan" dxfId="0">
      <formula>0</formula>
    </cfRule>
    <cfRule type="cellIs" priority="6" operator="greaterThanOrEqual" dxfId="1">
      <formula>0</formula>
    </cfRule>
  </conditionalFormatting>
  <conditionalFormatting sqref="B28:M28">
    <cfRule type="cellIs" priority="9" operator="lessThan" dxfId="0">
      <formula>0</formula>
    </cfRule>
    <cfRule type="cellIs" priority="10" operator="greaterThanOrEqual" dxfId="1">
      <formula>0</formula>
    </cfRule>
  </conditionalFormatting>
  <conditionalFormatting sqref="B29:M29">
    <cfRule type="cellIs" priority="9" operator="lessThan" dxfId="0">
      <formula>0</formula>
    </cfRule>
    <cfRule type="cellIs" priority="10" operator="greaterThanOr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2026-05-10T19:29:47Z</dcterms:created>
  <dcterms:modified xmlns:dcterms="http://purl.org/dc/terms/" xmlns:xsi="http://www.w3.org/2001/XMLSchema-instance" xsi:type="dcterms:W3CDTF">2026-05-10T19:29:47Z</dcterms:modified>
</cp:coreProperties>
</file>